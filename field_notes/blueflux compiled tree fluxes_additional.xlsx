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ewirtzman/My Drive/Research/Blueflux/blueflux-ground/field_notes/"/>
    </mc:Choice>
  </mc:AlternateContent>
  <xr:revisionPtr revIDLastSave="0" documentId="8_{2E06B709-6D12-EA41-8D2D-30090603A4C3}" xr6:coauthVersionLast="47" xr6:coauthVersionMax="47" xr10:uidLastSave="{00000000-0000-0000-0000-000000000000}"/>
  <bookViews>
    <workbookView xWindow="4660" yWindow="1920" windowWidth="27240" windowHeight="16440" xr2:uid="{4840A3F4-188A-FD4F-AED1-51E5D1A837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" l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 s="1"/>
</calcChain>
</file>

<file path=xl/sharedStrings.xml><?xml version="1.0" encoding="utf-8"?>
<sst xmlns="http://schemas.openxmlformats.org/spreadsheetml/2006/main" count="795" uniqueCount="53">
  <si>
    <t>no</t>
  </si>
  <si>
    <t>index</t>
  </si>
  <si>
    <t>flux_id</t>
  </si>
  <si>
    <t>plot</t>
  </si>
  <si>
    <t>date</t>
  </si>
  <si>
    <t>start_time</t>
  </si>
  <si>
    <t>end_time</t>
  </si>
  <si>
    <t>component</t>
  </si>
  <si>
    <t>status</t>
  </si>
  <si>
    <t>species</t>
  </si>
  <si>
    <t>analyzer</t>
  </si>
  <si>
    <t>analyzer_id</t>
  </si>
  <si>
    <t>chamber</t>
  </si>
  <si>
    <t>chamber_class</t>
  </si>
  <si>
    <t>chamber_vol</t>
  </si>
  <si>
    <t>chamber_area</t>
  </si>
  <si>
    <t>height</t>
  </si>
  <si>
    <t>diameter</t>
  </si>
  <si>
    <t>stem_temp</t>
  </si>
  <si>
    <t>air_temp</t>
  </si>
  <si>
    <t>soil_temp</t>
  </si>
  <si>
    <t>lenticels</t>
  </si>
  <si>
    <t>above</t>
  </si>
  <si>
    <t>water_depth</t>
  </si>
  <si>
    <t>RB10</t>
  </si>
  <si>
    <t>FLM30</t>
  </si>
  <si>
    <t>SRS6</t>
  </si>
  <si>
    <t>BL60</t>
  </si>
  <si>
    <t>RHMA</t>
  </si>
  <si>
    <t>AVGE</t>
  </si>
  <si>
    <t>LARA</t>
  </si>
  <si>
    <t>stem</t>
  </si>
  <si>
    <t>root</t>
  </si>
  <si>
    <t>CWD</t>
  </si>
  <si>
    <t>pneumatophore</t>
  </si>
  <si>
    <t>alive</t>
  </si>
  <si>
    <t>dead</t>
  </si>
  <si>
    <t>Picarro</t>
  </si>
  <si>
    <t>LGR3</t>
  </si>
  <si>
    <t>LRG3</t>
  </si>
  <si>
    <t>LGR</t>
  </si>
  <si>
    <t>R2</t>
  </si>
  <si>
    <t>S1</t>
  </si>
  <si>
    <t>S3</t>
  </si>
  <si>
    <t>S4</t>
  </si>
  <si>
    <t>B</t>
  </si>
  <si>
    <t>RA</t>
  </si>
  <si>
    <t>P</t>
  </si>
  <si>
    <t>RZ</t>
  </si>
  <si>
    <t>pneumataphore chamber</t>
  </si>
  <si>
    <t>C</t>
  </si>
  <si>
    <t>NA</t>
  </si>
  <si>
    <t>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</si>
</sst>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2" fillId="0" borderId="0" xfId="0" applyFont="1"/>
    <xf numFmtId="46" fontId="1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1F53-244D-FC49-B7C3-E2541865034F}">
  <dimension ref="A1:X87"/>
  <sheetViews>
    <sheetView tabSelected="1" workbookViewId="0"/>
  </sheetViews>
  <sheetFormatPr baseColWidth="10" defaultRowHeight="16" x14ac:dyDescent="0.2"/>
  <cols>
    <col min="3" max="3" width="18.1640625" bestFit="1" customWidth="1"/>
    <col min="14" max="14" width="13.3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 t="str">
        <f>"T1_"&amp;A2</f>
        <v>T1_1</v>
      </c>
      <c r="C2" t="str">
        <f>"Mar_22_"&amp;B2&amp;"_"&amp;D2&amp;"_"&amp;H2</f>
        <v>Mar_22_T1_1_RB10_stem</v>
      </c>
      <c r="D2" s="2" t="s">
        <v>24</v>
      </c>
      <c r="E2" s="1">
        <v>44639</v>
      </c>
      <c r="F2" s="3">
        <v>0.34652777777777777</v>
      </c>
      <c r="G2" s="3">
        <v>0.3527777777777778</v>
      </c>
      <c r="H2" s="2" t="s">
        <v>31</v>
      </c>
      <c r="I2" s="4" t="s">
        <v>35</v>
      </c>
      <c r="J2" s="2" t="s">
        <v>28</v>
      </c>
      <c r="K2" s="2" t="s">
        <v>37</v>
      </c>
      <c r="L2" s="2" t="s">
        <v>37</v>
      </c>
      <c r="M2" s="2" t="s">
        <v>41</v>
      </c>
      <c r="N2" s="2" t="s">
        <v>51</v>
      </c>
      <c r="Q2" s="2">
        <v>50</v>
      </c>
      <c r="S2" s="2">
        <v>30.2</v>
      </c>
      <c r="W2" t="s">
        <v>52</v>
      </c>
    </row>
    <row r="3" spans="1:24" x14ac:dyDescent="0.2">
      <c r="A3">
        <v>2</v>
      </c>
      <c r="B3" t="str">
        <f t="shared" ref="B3:B66" si="0">"T1_"&amp;A3</f>
        <v>T1_2</v>
      </c>
      <c r="C3" t="str">
        <f t="shared" ref="C3:C66" si="1">"Mar_22_"&amp;B3&amp;"_"&amp;D3&amp;"_"&amp;H3</f>
        <v>Mar_22_T1_2_RB10_stem</v>
      </c>
      <c r="D3" s="2" t="s">
        <v>24</v>
      </c>
      <c r="E3" s="1">
        <v>44639</v>
      </c>
      <c r="F3" s="3">
        <v>0.36249999999999999</v>
      </c>
      <c r="G3" s="3">
        <v>0.36666666666666664</v>
      </c>
      <c r="H3" s="2" t="s">
        <v>31</v>
      </c>
      <c r="I3" s="4" t="s">
        <v>35</v>
      </c>
      <c r="J3" s="2" t="s">
        <v>28</v>
      </c>
      <c r="K3" s="2" t="s">
        <v>37</v>
      </c>
      <c r="L3" s="2" t="s">
        <v>37</v>
      </c>
      <c r="M3" s="2" t="s">
        <v>41</v>
      </c>
      <c r="N3" s="2" t="s">
        <v>51</v>
      </c>
      <c r="Q3" s="2">
        <v>100</v>
      </c>
      <c r="S3" s="2">
        <v>35.700000000000003</v>
      </c>
      <c r="W3" t="s">
        <v>52</v>
      </c>
    </row>
    <row r="4" spans="1:24" x14ac:dyDescent="0.2">
      <c r="A4">
        <v>3</v>
      </c>
      <c r="B4" t="str">
        <f t="shared" si="0"/>
        <v>T1_3</v>
      </c>
      <c r="C4" t="str">
        <f t="shared" si="1"/>
        <v>Mar_22_T1_3_RB10_root</v>
      </c>
      <c r="D4" s="2" t="s">
        <v>24</v>
      </c>
      <c r="E4" s="1">
        <v>44639</v>
      </c>
      <c r="F4" s="3">
        <v>0.375</v>
      </c>
      <c r="G4" s="3">
        <v>0.37847222222222221</v>
      </c>
      <c r="H4" s="2" t="s">
        <v>32</v>
      </c>
      <c r="I4" s="4" t="s">
        <v>35</v>
      </c>
      <c r="J4" s="2" t="s">
        <v>28</v>
      </c>
      <c r="K4" s="2" t="s">
        <v>37</v>
      </c>
      <c r="L4" s="2" t="s">
        <v>37</v>
      </c>
      <c r="M4" s="2" t="s">
        <v>41</v>
      </c>
      <c r="N4" s="2" t="s">
        <v>51</v>
      </c>
      <c r="Q4" s="2"/>
      <c r="S4" s="2">
        <v>28.1</v>
      </c>
      <c r="W4" t="s">
        <v>52</v>
      </c>
    </row>
    <row r="5" spans="1:24" x14ac:dyDescent="0.2">
      <c r="A5">
        <v>4</v>
      </c>
      <c r="B5" t="str">
        <f t="shared" si="0"/>
        <v>T1_4</v>
      </c>
      <c r="C5" t="str">
        <f t="shared" si="1"/>
        <v>Mar_22_T1_4_RB10_root</v>
      </c>
      <c r="D5" s="2" t="s">
        <v>24</v>
      </c>
      <c r="E5" s="1">
        <v>44639</v>
      </c>
      <c r="F5" s="3">
        <v>0.37986111111111109</v>
      </c>
      <c r="G5" s="3">
        <v>0.38124999999999998</v>
      </c>
      <c r="H5" s="2" t="s">
        <v>32</v>
      </c>
      <c r="I5" s="4" t="s">
        <v>35</v>
      </c>
      <c r="J5" s="2" t="s">
        <v>28</v>
      </c>
      <c r="K5" s="2" t="s">
        <v>37</v>
      </c>
      <c r="L5" s="2" t="s">
        <v>37</v>
      </c>
      <c r="M5" s="2" t="s">
        <v>41</v>
      </c>
      <c r="N5" s="2" t="s">
        <v>51</v>
      </c>
      <c r="Q5" s="2"/>
      <c r="S5" s="2">
        <v>28.1</v>
      </c>
      <c r="W5" t="s">
        <v>52</v>
      </c>
    </row>
    <row r="6" spans="1:24" x14ac:dyDescent="0.2">
      <c r="A6">
        <v>5</v>
      </c>
      <c r="B6" t="str">
        <f t="shared" si="0"/>
        <v>T1_5</v>
      </c>
      <c r="C6" t="str">
        <f t="shared" si="1"/>
        <v>Mar_22_T1_5_RB10_root</v>
      </c>
      <c r="D6" s="2" t="s">
        <v>24</v>
      </c>
      <c r="E6" s="1">
        <v>44639</v>
      </c>
      <c r="F6" s="3">
        <v>0.38333333333333336</v>
      </c>
      <c r="G6" s="3">
        <v>0.38958333333333334</v>
      </c>
      <c r="H6" s="2" t="s">
        <v>32</v>
      </c>
      <c r="I6" s="4" t="s">
        <v>35</v>
      </c>
      <c r="J6" s="2" t="s">
        <v>28</v>
      </c>
      <c r="K6" s="2" t="s">
        <v>37</v>
      </c>
      <c r="L6" s="2" t="s">
        <v>37</v>
      </c>
      <c r="M6" s="2" t="s">
        <v>41</v>
      </c>
      <c r="N6" s="2" t="s">
        <v>51</v>
      </c>
      <c r="Q6" s="2"/>
      <c r="S6" s="2">
        <v>28.4</v>
      </c>
      <c r="W6" t="s">
        <v>52</v>
      </c>
    </row>
    <row r="7" spans="1:24" x14ac:dyDescent="0.2">
      <c r="A7">
        <v>6</v>
      </c>
      <c r="B7" t="str">
        <f t="shared" si="0"/>
        <v>T1_6</v>
      </c>
      <c r="C7" t="str">
        <f t="shared" si="1"/>
        <v>Mar_22_T1_6_RB10_stem</v>
      </c>
      <c r="D7" s="2" t="s">
        <v>24</v>
      </c>
      <c r="E7" s="1">
        <v>44639</v>
      </c>
      <c r="F7" s="3">
        <v>0.41944444444444445</v>
      </c>
      <c r="G7" s="3">
        <v>0.42916666666666664</v>
      </c>
      <c r="H7" s="2" t="s">
        <v>31</v>
      </c>
      <c r="I7" s="4" t="s">
        <v>35</v>
      </c>
      <c r="J7" s="2" t="s">
        <v>29</v>
      </c>
      <c r="K7" s="2" t="s">
        <v>37</v>
      </c>
      <c r="L7" s="2" t="s">
        <v>37</v>
      </c>
      <c r="M7" s="2" t="s">
        <v>41</v>
      </c>
      <c r="N7" s="2" t="s">
        <v>51</v>
      </c>
      <c r="Q7" s="2">
        <v>26</v>
      </c>
      <c r="S7" s="2">
        <v>30.2</v>
      </c>
      <c r="T7" s="2">
        <v>29.6</v>
      </c>
      <c r="W7" t="s">
        <v>52</v>
      </c>
    </row>
    <row r="8" spans="1:24" x14ac:dyDescent="0.2">
      <c r="A8">
        <v>7</v>
      </c>
      <c r="B8" t="str">
        <f t="shared" si="0"/>
        <v>T1_7</v>
      </c>
      <c r="C8" t="str">
        <f t="shared" si="1"/>
        <v>Mar_22_T1_7_RB10_stem</v>
      </c>
      <c r="D8" s="2" t="s">
        <v>24</v>
      </c>
      <c r="E8" s="1">
        <v>44639</v>
      </c>
      <c r="F8" s="3">
        <v>0.43263888888888891</v>
      </c>
      <c r="G8" s="3">
        <v>0.43958333333333333</v>
      </c>
      <c r="H8" s="2" t="s">
        <v>31</v>
      </c>
      <c r="I8" s="4" t="s">
        <v>35</v>
      </c>
      <c r="J8" s="2" t="s">
        <v>29</v>
      </c>
      <c r="K8" s="2" t="s">
        <v>37</v>
      </c>
      <c r="L8" s="2" t="s">
        <v>37</v>
      </c>
      <c r="M8" s="2" t="s">
        <v>41</v>
      </c>
      <c r="N8" s="2" t="s">
        <v>51</v>
      </c>
      <c r="Q8" s="2">
        <v>50</v>
      </c>
      <c r="S8" s="2">
        <v>30.4</v>
      </c>
      <c r="W8" t="s">
        <v>52</v>
      </c>
    </row>
    <row r="9" spans="1:24" x14ac:dyDescent="0.2">
      <c r="A9">
        <v>8</v>
      </c>
      <c r="B9" t="str">
        <f t="shared" si="0"/>
        <v>T1_8</v>
      </c>
      <c r="C9" t="str">
        <f t="shared" si="1"/>
        <v>Mar_22_T1_8_RB10_stem</v>
      </c>
      <c r="D9" s="2" t="s">
        <v>24</v>
      </c>
      <c r="E9" s="1">
        <v>44639</v>
      </c>
      <c r="F9" s="3">
        <v>0.44861111111111113</v>
      </c>
      <c r="G9" s="3">
        <v>0.45555555555555555</v>
      </c>
      <c r="H9" s="2" t="s">
        <v>31</v>
      </c>
      <c r="I9" s="4" t="s">
        <v>35</v>
      </c>
      <c r="J9" s="2" t="s">
        <v>29</v>
      </c>
      <c r="K9" s="2" t="s">
        <v>37</v>
      </c>
      <c r="L9" s="2" t="s">
        <v>37</v>
      </c>
      <c r="M9" s="2" t="s">
        <v>41</v>
      </c>
      <c r="N9" s="2" t="s">
        <v>51</v>
      </c>
      <c r="Q9" s="2">
        <v>100</v>
      </c>
      <c r="S9" s="2">
        <v>34.5</v>
      </c>
      <c r="W9" t="s">
        <v>52</v>
      </c>
    </row>
    <row r="10" spans="1:24" x14ac:dyDescent="0.2">
      <c r="A10">
        <v>9</v>
      </c>
      <c r="B10" t="str">
        <f t="shared" si="0"/>
        <v>T1_9</v>
      </c>
      <c r="C10" t="str">
        <f t="shared" si="1"/>
        <v>Mar_22_T1_9_FLM30_stem</v>
      </c>
      <c r="D10" s="2" t="s">
        <v>25</v>
      </c>
      <c r="E10" s="1">
        <v>44641</v>
      </c>
      <c r="F10" s="3">
        <v>0.44062499999999999</v>
      </c>
      <c r="G10" s="3">
        <v>0.44344907407407408</v>
      </c>
      <c r="H10" s="2" t="s">
        <v>31</v>
      </c>
      <c r="I10" s="4" t="s">
        <v>35</v>
      </c>
      <c r="J10" s="2" t="s">
        <v>28</v>
      </c>
      <c r="K10" s="2" t="s">
        <v>40</v>
      </c>
      <c r="L10" s="2" t="s">
        <v>38</v>
      </c>
      <c r="M10" s="2" t="s">
        <v>42</v>
      </c>
      <c r="N10" s="2" t="s">
        <v>50</v>
      </c>
      <c r="Q10" s="2">
        <v>0</v>
      </c>
      <c r="R10">
        <v>27.1</v>
      </c>
      <c r="S10" s="2">
        <v>24.5</v>
      </c>
      <c r="T10" s="2">
        <v>26.6</v>
      </c>
      <c r="W10" t="s">
        <v>52</v>
      </c>
    </row>
    <row r="11" spans="1:24" x14ac:dyDescent="0.2">
      <c r="A11">
        <v>10</v>
      </c>
      <c r="B11" t="str">
        <f t="shared" si="0"/>
        <v>T1_10</v>
      </c>
      <c r="C11" t="str">
        <f t="shared" si="1"/>
        <v>Mar_22_T1_10_FLM30_stem</v>
      </c>
      <c r="D11" s="2" t="s">
        <v>25</v>
      </c>
      <c r="E11" s="1">
        <v>44641</v>
      </c>
      <c r="F11" s="3">
        <v>0.44548611111111114</v>
      </c>
      <c r="G11" s="3">
        <v>0.44826388888888891</v>
      </c>
      <c r="H11" s="2" t="s">
        <v>31</v>
      </c>
      <c r="I11" s="4" t="s">
        <v>35</v>
      </c>
      <c r="J11" s="2" t="s">
        <v>28</v>
      </c>
      <c r="K11" s="2" t="s">
        <v>40</v>
      </c>
      <c r="L11" s="2" t="s">
        <v>38</v>
      </c>
      <c r="M11" s="2" t="s">
        <v>42</v>
      </c>
      <c r="N11" s="2" t="s">
        <v>50</v>
      </c>
      <c r="Q11" s="2">
        <v>50</v>
      </c>
      <c r="R11">
        <v>22.9</v>
      </c>
      <c r="S11" s="2">
        <v>34.4</v>
      </c>
      <c r="T11" s="2">
        <v>26.8</v>
      </c>
      <c r="W11" t="s">
        <v>52</v>
      </c>
    </row>
    <row r="12" spans="1:24" x14ac:dyDescent="0.2">
      <c r="A12">
        <v>11</v>
      </c>
      <c r="B12" t="str">
        <f t="shared" si="0"/>
        <v>T1_11</v>
      </c>
      <c r="C12" t="str">
        <f t="shared" si="1"/>
        <v>Mar_22_T1_11_FLM30_stem</v>
      </c>
      <c r="D12" s="2" t="s">
        <v>25</v>
      </c>
      <c r="E12" s="1">
        <v>44641</v>
      </c>
      <c r="F12" s="3">
        <v>0.45106481481481481</v>
      </c>
      <c r="G12" s="3">
        <v>0.45451388888888888</v>
      </c>
      <c r="H12" s="2" t="s">
        <v>31</v>
      </c>
      <c r="I12" s="4" t="s">
        <v>35</v>
      </c>
      <c r="J12" s="2" t="s">
        <v>28</v>
      </c>
      <c r="K12" s="2" t="s">
        <v>40</v>
      </c>
      <c r="L12" s="2" t="s">
        <v>38</v>
      </c>
      <c r="M12" s="2" t="s">
        <v>42</v>
      </c>
      <c r="N12" s="2" t="s">
        <v>50</v>
      </c>
      <c r="Q12" s="2">
        <v>100</v>
      </c>
      <c r="R12">
        <v>17.2</v>
      </c>
      <c r="S12" s="2">
        <v>23.5</v>
      </c>
      <c r="T12" s="2">
        <v>26.9</v>
      </c>
      <c r="W12" t="s">
        <v>52</v>
      </c>
    </row>
    <row r="13" spans="1:24" x14ac:dyDescent="0.2">
      <c r="A13">
        <v>12</v>
      </c>
      <c r="B13" t="str">
        <f t="shared" si="0"/>
        <v>T1_12</v>
      </c>
      <c r="C13" t="str">
        <f t="shared" si="1"/>
        <v>Mar_22_T1_12_FLM30_stem</v>
      </c>
      <c r="D13" s="2" t="s">
        <v>25</v>
      </c>
      <c r="E13" s="1">
        <v>44641</v>
      </c>
      <c r="F13" s="3">
        <v>0.47083333333333333</v>
      </c>
      <c r="G13" s="3">
        <v>0.47361111111111109</v>
      </c>
      <c r="H13" s="2" t="s">
        <v>31</v>
      </c>
      <c r="I13" s="4" t="s">
        <v>35</v>
      </c>
      <c r="J13" s="2" t="s">
        <v>29</v>
      </c>
      <c r="K13" s="2" t="s">
        <v>40</v>
      </c>
      <c r="L13" s="2" t="s">
        <v>38</v>
      </c>
      <c r="M13" s="2" t="s">
        <v>42</v>
      </c>
      <c r="N13" s="2" t="s">
        <v>50</v>
      </c>
      <c r="Q13" s="2">
        <v>0</v>
      </c>
      <c r="R13">
        <v>24.2</v>
      </c>
      <c r="S13" s="2">
        <v>26.2</v>
      </c>
      <c r="T13" s="2">
        <v>27</v>
      </c>
      <c r="U13" s="2">
        <v>24.9</v>
      </c>
      <c r="W13" t="s">
        <v>52</v>
      </c>
    </row>
    <row r="14" spans="1:24" x14ac:dyDescent="0.2">
      <c r="A14">
        <v>13</v>
      </c>
      <c r="B14" t="str">
        <f t="shared" si="0"/>
        <v>T1_13</v>
      </c>
      <c r="C14" t="str">
        <f t="shared" si="1"/>
        <v>Mar_22_T1_13_FLM30_stem</v>
      </c>
      <c r="D14" s="2" t="s">
        <v>25</v>
      </c>
      <c r="E14" s="1">
        <v>44641</v>
      </c>
      <c r="F14" s="3">
        <v>0.4861111111111111</v>
      </c>
      <c r="G14" s="3">
        <v>0.48888888888888887</v>
      </c>
      <c r="H14" s="2" t="s">
        <v>31</v>
      </c>
      <c r="I14" s="4" t="s">
        <v>35</v>
      </c>
      <c r="J14" s="2" t="s">
        <v>29</v>
      </c>
      <c r="K14" s="2" t="s">
        <v>40</v>
      </c>
      <c r="L14" s="2" t="s">
        <v>38</v>
      </c>
      <c r="M14" s="2" t="s">
        <v>42</v>
      </c>
      <c r="N14" s="2" t="s">
        <v>50</v>
      </c>
      <c r="Q14" s="2">
        <v>50</v>
      </c>
      <c r="R14">
        <v>20.399999999999999</v>
      </c>
      <c r="S14" s="2">
        <v>25.5</v>
      </c>
      <c r="T14" s="2">
        <v>27.1</v>
      </c>
      <c r="W14" t="s">
        <v>52</v>
      </c>
    </row>
    <row r="15" spans="1:24" x14ac:dyDescent="0.2">
      <c r="A15">
        <v>14</v>
      </c>
      <c r="B15" t="str">
        <f t="shared" si="0"/>
        <v>T1_14</v>
      </c>
      <c r="C15" t="str">
        <f t="shared" si="1"/>
        <v>Mar_22_T1_14_FLM30_stem</v>
      </c>
      <c r="D15" s="2" t="s">
        <v>25</v>
      </c>
      <c r="E15" s="1">
        <v>44641</v>
      </c>
      <c r="F15" s="3">
        <v>0.49513888888888891</v>
      </c>
      <c r="G15" s="3">
        <v>0.49861111111111112</v>
      </c>
      <c r="H15" s="2" t="s">
        <v>31</v>
      </c>
      <c r="I15" s="4" t="s">
        <v>35</v>
      </c>
      <c r="J15" s="2" t="s">
        <v>29</v>
      </c>
      <c r="K15" s="2" t="s">
        <v>40</v>
      </c>
      <c r="L15" s="2" t="s">
        <v>38</v>
      </c>
      <c r="M15" s="2" t="s">
        <v>42</v>
      </c>
      <c r="N15" s="2" t="s">
        <v>50</v>
      </c>
      <c r="Q15" s="2">
        <v>100</v>
      </c>
      <c r="R15">
        <v>19.100000000000001</v>
      </c>
      <c r="S15" s="2">
        <v>29.2</v>
      </c>
      <c r="T15" s="2">
        <v>26.9</v>
      </c>
      <c r="W15" t="s">
        <v>52</v>
      </c>
    </row>
    <row r="16" spans="1:24" x14ac:dyDescent="0.2">
      <c r="A16">
        <v>15</v>
      </c>
      <c r="B16" t="str">
        <f t="shared" si="0"/>
        <v>T1_15</v>
      </c>
      <c r="C16" t="str">
        <f t="shared" si="1"/>
        <v>Mar_22_T1_15_FLM30_stem</v>
      </c>
      <c r="D16" s="2" t="s">
        <v>25</v>
      </c>
      <c r="E16" s="1">
        <v>44641</v>
      </c>
      <c r="F16" s="3">
        <v>0.5131944444444444</v>
      </c>
      <c r="G16" s="3">
        <v>0.51597222222222228</v>
      </c>
      <c r="H16" s="2" t="s">
        <v>31</v>
      </c>
      <c r="I16" s="4" t="s">
        <v>35</v>
      </c>
      <c r="J16" s="2" t="s">
        <v>29</v>
      </c>
      <c r="K16" s="2" t="s">
        <v>40</v>
      </c>
      <c r="L16" s="2" t="s">
        <v>38</v>
      </c>
      <c r="M16" s="2" t="s">
        <v>43</v>
      </c>
      <c r="N16" s="2" t="s">
        <v>45</v>
      </c>
      <c r="Q16" s="2">
        <v>0</v>
      </c>
      <c r="R16">
        <v>11.1</v>
      </c>
      <c r="S16" s="2">
        <v>28.1</v>
      </c>
      <c r="T16" s="2">
        <v>27.5</v>
      </c>
      <c r="U16" s="2">
        <v>25.2</v>
      </c>
      <c r="W16" t="s">
        <v>52</v>
      </c>
    </row>
    <row r="17" spans="1:23" x14ac:dyDescent="0.2">
      <c r="A17">
        <v>16</v>
      </c>
      <c r="B17" t="str">
        <f t="shared" si="0"/>
        <v>T1_16</v>
      </c>
      <c r="C17" t="str">
        <f t="shared" si="1"/>
        <v>Mar_22_T1_16_FLM30_stem</v>
      </c>
      <c r="D17" s="2" t="s">
        <v>25</v>
      </c>
      <c r="E17" s="1">
        <v>44641</v>
      </c>
      <c r="F17" s="3">
        <v>0.52569444444444446</v>
      </c>
      <c r="G17" s="3">
        <v>0.53263888888888888</v>
      </c>
      <c r="H17" s="2" t="s">
        <v>31</v>
      </c>
      <c r="I17" s="4" t="s">
        <v>35</v>
      </c>
      <c r="J17" s="2" t="s">
        <v>29</v>
      </c>
      <c r="K17" s="2" t="s">
        <v>40</v>
      </c>
      <c r="L17" s="2" t="s">
        <v>38</v>
      </c>
      <c r="M17" s="2" t="s">
        <v>43</v>
      </c>
      <c r="N17" s="2" t="s">
        <v>45</v>
      </c>
      <c r="Q17" s="2">
        <v>50</v>
      </c>
      <c r="R17">
        <v>9.5</v>
      </c>
      <c r="S17" s="2">
        <v>32.200000000000003</v>
      </c>
      <c r="T17" s="2">
        <v>28.6</v>
      </c>
      <c r="W17" t="s">
        <v>52</v>
      </c>
    </row>
    <row r="18" spans="1:23" x14ac:dyDescent="0.2">
      <c r="A18">
        <v>17</v>
      </c>
      <c r="B18" t="str">
        <f t="shared" si="0"/>
        <v>T1_17</v>
      </c>
      <c r="C18" t="str">
        <f t="shared" si="1"/>
        <v>Mar_22_T1_17_FLM30_stem</v>
      </c>
      <c r="D18" s="2" t="s">
        <v>25</v>
      </c>
      <c r="E18" s="1">
        <v>44641</v>
      </c>
      <c r="F18" s="3">
        <v>0.5395833333333333</v>
      </c>
      <c r="G18" s="3">
        <v>0.50486111111111109</v>
      </c>
      <c r="H18" s="2" t="s">
        <v>31</v>
      </c>
      <c r="I18" s="4" t="s">
        <v>35</v>
      </c>
      <c r="J18" s="2" t="s">
        <v>29</v>
      </c>
      <c r="K18" s="2" t="s">
        <v>40</v>
      </c>
      <c r="L18" s="2" t="s">
        <v>38</v>
      </c>
      <c r="M18" s="2" t="s">
        <v>43</v>
      </c>
      <c r="N18" s="2" t="s">
        <v>45</v>
      </c>
      <c r="Q18" s="2">
        <v>100</v>
      </c>
      <c r="R18">
        <v>9.1999999999999993</v>
      </c>
      <c r="S18" s="2">
        <v>26.6</v>
      </c>
      <c r="T18" s="2">
        <v>28.6</v>
      </c>
      <c r="W18" t="s">
        <v>52</v>
      </c>
    </row>
    <row r="19" spans="1:23" x14ac:dyDescent="0.2">
      <c r="A19">
        <v>18</v>
      </c>
      <c r="B19" t="str">
        <f t="shared" si="0"/>
        <v>T1_18</v>
      </c>
      <c r="C19" t="str">
        <f t="shared" si="1"/>
        <v>Mar_22_T1_18_FLM30_stem</v>
      </c>
      <c r="D19" s="2" t="s">
        <v>25</v>
      </c>
      <c r="E19" s="1">
        <v>44641</v>
      </c>
      <c r="F19" s="3">
        <v>0.55763888888888891</v>
      </c>
      <c r="G19" s="3">
        <v>0.52083333333333337</v>
      </c>
      <c r="H19" s="2" t="s">
        <v>31</v>
      </c>
      <c r="I19" s="4" t="s">
        <v>35</v>
      </c>
      <c r="J19" s="2" t="s">
        <v>29</v>
      </c>
      <c r="K19" s="2" t="s">
        <v>40</v>
      </c>
      <c r="L19" s="2" t="s">
        <v>38</v>
      </c>
      <c r="M19" s="2" t="s">
        <v>44</v>
      </c>
      <c r="N19" s="2" t="s">
        <v>45</v>
      </c>
      <c r="Q19" s="2">
        <v>0</v>
      </c>
      <c r="R19">
        <v>22</v>
      </c>
      <c r="S19" s="2">
        <v>32.1</v>
      </c>
      <c r="T19" s="2">
        <v>29.6</v>
      </c>
      <c r="U19" s="2">
        <v>25.6</v>
      </c>
      <c r="W19" t="s">
        <v>52</v>
      </c>
    </row>
    <row r="20" spans="1:23" x14ac:dyDescent="0.2">
      <c r="A20">
        <v>19</v>
      </c>
      <c r="B20" t="str">
        <f t="shared" si="0"/>
        <v>T1_19</v>
      </c>
      <c r="C20" t="str">
        <f t="shared" si="1"/>
        <v>Mar_22_T1_19_FLM30_stem</v>
      </c>
      <c r="D20" s="2" t="s">
        <v>25</v>
      </c>
      <c r="E20" s="1">
        <v>44641</v>
      </c>
      <c r="F20" s="3">
        <v>0.56874999999999998</v>
      </c>
      <c r="G20" s="3">
        <v>0.53055555555555556</v>
      </c>
      <c r="H20" s="2" t="s">
        <v>31</v>
      </c>
      <c r="I20" s="4" t="s">
        <v>35</v>
      </c>
      <c r="J20" s="2" t="s">
        <v>29</v>
      </c>
      <c r="K20" s="2" t="s">
        <v>40</v>
      </c>
      <c r="L20" s="2" t="s">
        <v>38</v>
      </c>
      <c r="M20" s="2" t="s">
        <v>44</v>
      </c>
      <c r="N20" s="2" t="s">
        <v>45</v>
      </c>
      <c r="Q20" s="2">
        <v>50</v>
      </c>
      <c r="R20">
        <v>17.5</v>
      </c>
      <c r="S20" s="2">
        <v>30.7</v>
      </c>
      <c r="T20" s="2">
        <v>27.4</v>
      </c>
      <c r="W20" t="s">
        <v>52</v>
      </c>
    </row>
    <row r="21" spans="1:23" x14ac:dyDescent="0.2">
      <c r="A21">
        <v>20</v>
      </c>
      <c r="B21" t="str">
        <f t="shared" si="0"/>
        <v>T1_20</v>
      </c>
      <c r="C21" t="str">
        <f t="shared" si="1"/>
        <v>Mar_22_T1_20_FLM30_stem</v>
      </c>
      <c r="D21" s="2" t="s">
        <v>25</v>
      </c>
      <c r="E21" s="1">
        <v>44641</v>
      </c>
      <c r="F21" s="3">
        <v>0.57534722222222223</v>
      </c>
      <c r="G21" s="3">
        <v>0.57847222222222228</v>
      </c>
      <c r="H21" s="2" t="s">
        <v>31</v>
      </c>
      <c r="I21" s="4" t="s">
        <v>35</v>
      </c>
      <c r="J21" s="2" t="s">
        <v>29</v>
      </c>
      <c r="K21" s="2" t="s">
        <v>40</v>
      </c>
      <c r="L21" s="2" t="s">
        <v>38</v>
      </c>
      <c r="M21" s="2" t="s">
        <v>44</v>
      </c>
      <c r="N21" s="2" t="s">
        <v>45</v>
      </c>
      <c r="Q21" s="2">
        <v>100</v>
      </c>
      <c r="R21">
        <v>17.3</v>
      </c>
      <c r="S21" s="2">
        <v>31.3</v>
      </c>
      <c r="T21" s="2">
        <v>27.6</v>
      </c>
      <c r="W21" t="s">
        <v>52</v>
      </c>
    </row>
    <row r="22" spans="1:23" x14ac:dyDescent="0.2">
      <c r="A22">
        <v>21</v>
      </c>
      <c r="B22" t="str">
        <f t="shared" si="0"/>
        <v>T1_21</v>
      </c>
      <c r="C22" t="str">
        <f t="shared" si="1"/>
        <v>Mar_22_T1_21_FLM30_stem</v>
      </c>
      <c r="D22" s="2" t="s">
        <v>25</v>
      </c>
      <c r="E22" s="1">
        <v>44641</v>
      </c>
      <c r="F22" s="3">
        <v>0.5854166666666667</v>
      </c>
      <c r="G22" s="3">
        <v>0.59166666666666667</v>
      </c>
      <c r="H22" s="2" t="s">
        <v>31</v>
      </c>
      <c r="I22" s="4" t="s">
        <v>35</v>
      </c>
      <c r="J22" s="2" t="s">
        <v>29</v>
      </c>
      <c r="K22" s="2" t="s">
        <v>40</v>
      </c>
      <c r="L22" s="2" t="s">
        <v>38</v>
      </c>
      <c r="M22" s="2" t="s">
        <v>43</v>
      </c>
      <c r="N22" s="2" t="s">
        <v>45</v>
      </c>
      <c r="Q22" s="2">
        <v>0</v>
      </c>
      <c r="R22">
        <v>13.4</v>
      </c>
      <c r="S22" s="2">
        <v>31.5</v>
      </c>
      <c r="T22" s="2">
        <v>30.6</v>
      </c>
      <c r="U22" s="2">
        <v>25.8</v>
      </c>
      <c r="W22" t="s">
        <v>52</v>
      </c>
    </row>
    <row r="23" spans="1:23" x14ac:dyDescent="0.2">
      <c r="A23">
        <v>22</v>
      </c>
      <c r="B23" t="str">
        <f t="shared" si="0"/>
        <v>T1_22</v>
      </c>
      <c r="C23" t="str">
        <f t="shared" si="1"/>
        <v>Mar_22_T1_22_FLM30_stem</v>
      </c>
      <c r="D23" s="2" t="s">
        <v>25</v>
      </c>
      <c r="E23" s="1">
        <v>44641</v>
      </c>
      <c r="F23" s="3">
        <v>0.60069444444444442</v>
      </c>
      <c r="G23" s="3">
        <v>0.60763888888888884</v>
      </c>
      <c r="H23" s="2" t="s">
        <v>31</v>
      </c>
      <c r="I23" s="4" t="s">
        <v>35</v>
      </c>
      <c r="J23" s="2" t="s">
        <v>29</v>
      </c>
      <c r="K23" s="2" t="s">
        <v>40</v>
      </c>
      <c r="L23" s="2" t="s">
        <v>38</v>
      </c>
      <c r="M23" s="2" t="s">
        <v>43</v>
      </c>
      <c r="N23" s="2" t="s">
        <v>45</v>
      </c>
      <c r="Q23" s="2">
        <v>50</v>
      </c>
      <c r="R23">
        <v>11.8</v>
      </c>
      <c r="S23" s="2">
        <v>28.5</v>
      </c>
      <c r="T23" s="2">
        <v>29.9</v>
      </c>
      <c r="U23" s="2">
        <v>25.8</v>
      </c>
      <c r="W23" t="s">
        <v>52</v>
      </c>
    </row>
    <row r="24" spans="1:23" x14ac:dyDescent="0.2">
      <c r="A24">
        <v>23</v>
      </c>
      <c r="B24" t="str">
        <f t="shared" si="0"/>
        <v>T1_23</v>
      </c>
      <c r="C24" t="str">
        <f t="shared" si="1"/>
        <v>Mar_22_T1_23_FLM30_stem</v>
      </c>
      <c r="D24" s="2" t="s">
        <v>25</v>
      </c>
      <c r="E24" s="1">
        <v>44641</v>
      </c>
      <c r="F24" s="3">
        <v>0.61041666666666672</v>
      </c>
      <c r="G24" s="3">
        <v>0.61736111111111114</v>
      </c>
      <c r="H24" s="2" t="s">
        <v>31</v>
      </c>
      <c r="I24" s="4" t="s">
        <v>35</v>
      </c>
      <c r="J24" s="2" t="s">
        <v>29</v>
      </c>
      <c r="K24" s="2" t="s">
        <v>40</v>
      </c>
      <c r="L24" s="2" t="s">
        <v>38</v>
      </c>
      <c r="M24" s="2" t="s">
        <v>43</v>
      </c>
      <c r="N24" s="2" t="s">
        <v>45</v>
      </c>
      <c r="Q24" s="2">
        <v>100</v>
      </c>
      <c r="R24">
        <v>10.5</v>
      </c>
      <c r="S24" s="2">
        <v>24.5</v>
      </c>
      <c r="T24" s="2">
        <v>27.6</v>
      </c>
      <c r="U24" s="2">
        <v>25.8</v>
      </c>
      <c r="W24" t="s">
        <v>52</v>
      </c>
    </row>
    <row r="25" spans="1:23" x14ac:dyDescent="0.2">
      <c r="A25">
        <v>24</v>
      </c>
      <c r="B25" t="str">
        <f t="shared" si="0"/>
        <v>T1_24</v>
      </c>
      <c r="C25" t="str">
        <f t="shared" si="1"/>
        <v>Mar_22_T1_24_SRS6_stem</v>
      </c>
      <c r="D25" s="2" t="s">
        <v>26</v>
      </c>
      <c r="E25" s="1">
        <v>44642</v>
      </c>
      <c r="F25" s="3">
        <v>0.58194444444444449</v>
      </c>
      <c r="G25" s="3">
        <v>0.58461805555555557</v>
      </c>
      <c r="H25" s="2" t="s">
        <v>31</v>
      </c>
      <c r="I25" s="4" t="s">
        <v>36</v>
      </c>
      <c r="J25" s="2" t="s">
        <v>28</v>
      </c>
      <c r="K25" s="2" t="s">
        <v>40</v>
      </c>
      <c r="L25" s="2" t="s">
        <v>38</v>
      </c>
      <c r="M25" s="2" t="s">
        <v>45</v>
      </c>
      <c r="N25" s="2" t="s">
        <v>45</v>
      </c>
      <c r="Q25" s="2"/>
      <c r="R25">
        <v>9.5</v>
      </c>
      <c r="S25" s="2">
        <v>28.7</v>
      </c>
      <c r="T25" s="2">
        <v>29.3</v>
      </c>
      <c r="W25" t="s">
        <v>52</v>
      </c>
    </row>
    <row r="26" spans="1:23" x14ac:dyDescent="0.2">
      <c r="A26">
        <v>25</v>
      </c>
      <c r="B26" t="str">
        <f t="shared" si="0"/>
        <v>T1_25</v>
      </c>
      <c r="C26" t="str">
        <f t="shared" si="1"/>
        <v>Mar_22_T1_25_SRS6_stem</v>
      </c>
      <c r="D26" s="2" t="s">
        <v>26</v>
      </c>
      <c r="E26" s="1">
        <v>44642</v>
      </c>
      <c r="F26" s="3">
        <v>0.58680555555555558</v>
      </c>
      <c r="G26" s="3">
        <v>0.58888888888888891</v>
      </c>
      <c r="H26" s="2" t="s">
        <v>31</v>
      </c>
      <c r="I26" s="4" t="s">
        <v>36</v>
      </c>
      <c r="J26" s="2" t="s">
        <v>28</v>
      </c>
      <c r="K26" s="2" t="s">
        <v>40</v>
      </c>
      <c r="L26" s="2" t="s">
        <v>38</v>
      </c>
      <c r="M26" s="2" t="s">
        <v>45</v>
      </c>
      <c r="N26" s="2" t="s">
        <v>45</v>
      </c>
      <c r="Q26" s="2">
        <v>50</v>
      </c>
      <c r="R26">
        <v>10.8</v>
      </c>
      <c r="S26" s="2">
        <v>28.3</v>
      </c>
      <c r="T26" s="2">
        <v>27.6</v>
      </c>
      <c r="U26" s="2">
        <v>23.2</v>
      </c>
      <c r="W26" t="s">
        <v>52</v>
      </c>
    </row>
    <row r="27" spans="1:23" x14ac:dyDescent="0.2">
      <c r="A27">
        <v>26</v>
      </c>
      <c r="B27" t="str">
        <f t="shared" si="0"/>
        <v>T1_26</v>
      </c>
      <c r="C27" t="str">
        <f t="shared" si="1"/>
        <v>Mar_22_T1_26_SRS6_stem</v>
      </c>
      <c r="D27" s="2" t="s">
        <v>26</v>
      </c>
      <c r="E27" s="1">
        <v>44642</v>
      </c>
      <c r="F27" s="3">
        <v>0.59548611111111116</v>
      </c>
      <c r="G27" s="3">
        <v>0.59861111111111109</v>
      </c>
      <c r="H27" s="2" t="s">
        <v>31</v>
      </c>
      <c r="I27" s="4" t="s">
        <v>36</v>
      </c>
      <c r="J27" s="2" t="s">
        <v>28</v>
      </c>
      <c r="K27" s="2" t="s">
        <v>40</v>
      </c>
      <c r="L27" s="2" t="s">
        <v>38</v>
      </c>
      <c r="M27" s="2" t="s">
        <v>45</v>
      </c>
      <c r="N27" s="2" t="s">
        <v>45</v>
      </c>
      <c r="Q27" s="2">
        <v>100</v>
      </c>
      <c r="R27">
        <v>12.7</v>
      </c>
      <c r="S27" s="2">
        <v>29.3</v>
      </c>
      <c r="W27" t="s">
        <v>52</v>
      </c>
    </row>
    <row r="28" spans="1:23" x14ac:dyDescent="0.2">
      <c r="A28">
        <v>27</v>
      </c>
      <c r="B28" t="str">
        <f t="shared" si="0"/>
        <v>T1_27</v>
      </c>
      <c r="C28" t="str">
        <f t="shared" si="1"/>
        <v>Mar_22_T1_27_SRS6_CWD</v>
      </c>
      <c r="D28" s="2" t="s">
        <v>26</v>
      </c>
      <c r="E28" s="1">
        <v>44642</v>
      </c>
      <c r="F28" s="3">
        <v>0.6069444444444444</v>
      </c>
      <c r="G28" s="3">
        <v>0.52916666666666667</v>
      </c>
      <c r="H28" s="2" t="s">
        <v>33</v>
      </c>
      <c r="I28" s="4" t="s">
        <v>36</v>
      </c>
      <c r="J28" s="2" t="s">
        <v>28</v>
      </c>
      <c r="K28" s="2" t="s">
        <v>40</v>
      </c>
      <c r="L28" s="2" t="s">
        <v>38</v>
      </c>
      <c r="M28" s="2" t="s">
        <v>46</v>
      </c>
      <c r="N28" s="2" t="s">
        <v>51</v>
      </c>
      <c r="Q28" s="2"/>
      <c r="R28">
        <v>7</v>
      </c>
      <c r="W28" t="s">
        <v>52</v>
      </c>
    </row>
    <row r="29" spans="1:23" x14ac:dyDescent="0.2">
      <c r="A29">
        <v>28</v>
      </c>
      <c r="B29" t="str">
        <f t="shared" si="0"/>
        <v>T1_28</v>
      </c>
      <c r="C29" t="str">
        <f t="shared" si="1"/>
        <v>Mar_22_T1_28_SRS6_stem</v>
      </c>
      <c r="D29" s="2" t="s">
        <v>26</v>
      </c>
      <c r="E29" s="1">
        <v>44642</v>
      </c>
      <c r="F29" s="3">
        <v>0.62013888888888891</v>
      </c>
      <c r="G29" s="3">
        <v>0.5395833333333333</v>
      </c>
      <c r="H29" s="2" t="s">
        <v>31</v>
      </c>
      <c r="I29" s="4" t="s">
        <v>35</v>
      </c>
      <c r="J29" s="2"/>
      <c r="K29" s="2" t="s">
        <v>40</v>
      </c>
      <c r="L29" s="2" t="s">
        <v>38</v>
      </c>
      <c r="M29" s="2" t="s">
        <v>44</v>
      </c>
      <c r="N29" s="2" t="s">
        <v>45</v>
      </c>
      <c r="Q29" s="2">
        <v>100</v>
      </c>
      <c r="R29">
        <v>20.7</v>
      </c>
      <c r="S29" s="2">
        <v>27.7</v>
      </c>
      <c r="W29" t="s">
        <v>52</v>
      </c>
    </row>
    <row r="30" spans="1:23" x14ac:dyDescent="0.2">
      <c r="A30">
        <v>29</v>
      </c>
      <c r="B30" t="str">
        <f t="shared" si="0"/>
        <v>T1_29</v>
      </c>
      <c r="C30" t="str">
        <f t="shared" si="1"/>
        <v>Mar_22_T1_29_SRS6_stem</v>
      </c>
      <c r="D30" s="2" t="s">
        <v>26</v>
      </c>
      <c r="E30" s="1">
        <v>44642</v>
      </c>
      <c r="F30" s="3">
        <v>0.62638888888888888</v>
      </c>
      <c r="G30" s="3">
        <v>0.62916666666666665</v>
      </c>
      <c r="H30" s="2" t="s">
        <v>31</v>
      </c>
      <c r="I30" s="4" t="s">
        <v>35</v>
      </c>
      <c r="J30" s="2" t="s">
        <v>28</v>
      </c>
      <c r="K30" s="2" t="s">
        <v>40</v>
      </c>
      <c r="L30" s="2" t="s">
        <v>38</v>
      </c>
      <c r="M30" s="2" t="s">
        <v>44</v>
      </c>
      <c r="N30" s="2" t="s">
        <v>45</v>
      </c>
      <c r="Q30" s="2">
        <v>50</v>
      </c>
      <c r="R30">
        <v>23.6</v>
      </c>
      <c r="S30" s="2">
        <v>26.6</v>
      </c>
      <c r="T30" s="2">
        <v>27.7</v>
      </c>
      <c r="W30" t="s">
        <v>52</v>
      </c>
    </row>
    <row r="31" spans="1:23" x14ac:dyDescent="0.2">
      <c r="A31">
        <v>30</v>
      </c>
      <c r="B31" t="str">
        <f t="shared" si="0"/>
        <v>T1_30</v>
      </c>
      <c r="C31" t="str">
        <f t="shared" si="1"/>
        <v>Mar_22_T1_30_SRS6_stem</v>
      </c>
      <c r="D31" s="2" t="s">
        <v>26</v>
      </c>
      <c r="E31" s="1">
        <v>44642</v>
      </c>
      <c r="F31" s="3">
        <v>0.63124999999999998</v>
      </c>
      <c r="G31" s="3">
        <v>0.63402777777777775</v>
      </c>
      <c r="H31" s="2" t="s">
        <v>31</v>
      </c>
      <c r="I31" s="4" t="s">
        <v>35</v>
      </c>
      <c r="J31" s="2" t="s">
        <v>28</v>
      </c>
      <c r="K31" s="2" t="s">
        <v>40</v>
      </c>
      <c r="L31" s="2" t="s">
        <v>38</v>
      </c>
      <c r="M31" s="2" t="s">
        <v>44</v>
      </c>
      <c r="N31" s="2" t="s">
        <v>45</v>
      </c>
      <c r="Q31" s="2">
        <v>0</v>
      </c>
      <c r="S31" s="2">
        <v>25.1</v>
      </c>
      <c r="U31" s="2">
        <v>23.2</v>
      </c>
      <c r="W31" t="s">
        <v>52</v>
      </c>
    </row>
    <row r="32" spans="1:23" x14ac:dyDescent="0.2">
      <c r="A32">
        <v>31</v>
      </c>
      <c r="B32" t="str">
        <f t="shared" si="0"/>
        <v>T1_31</v>
      </c>
      <c r="C32" t="str">
        <f t="shared" si="1"/>
        <v>Mar_22_T1_31_SRS6_root</v>
      </c>
      <c r="D32" s="2" t="s">
        <v>26</v>
      </c>
      <c r="E32" s="1">
        <v>44642</v>
      </c>
      <c r="F32" s="3">
        <v>0.63888888888888884</v>
      </c>
      <c r="G32" s="3">
        <v>0.51666666666666672</v>
      </c>
      <c r="H32" s="2" t="s">
        <v>32</v>
      </c>
      <c r="I32" s="4" t="s">
        <v>35</v>
      </c>
      <c r="J32" s="2" t="s">
        <v>28</v>
      </c>
      <c r="K32" s="2" t="s">
        <v>40</v>
      </c>
      <c r="L32" s="2" t="s">
        <v>38</v>
      </c>
      <c r="M32" s="2" t="s">
        <v>45</v>
      </c>
      <c r="N32" s="2" t="s">
        <v>45</v>
      </c>
      <c r="Q32" s="2"/>
      <c r="S32" s="2">
        <v>27</v>
      </c>
      <c r="W32" t="s">
        <v>52</v>
      </c>
    </row>
    <row r="33" spans="1:23" x14ac:dyDescent="0.2">
      <c r="A33">
        <v>32</v>
      </c>
      <c r="B33" t="str">
        <f t="shared" si="0"/>
        <v>T1_32</v>
      </c>
      <c r="C33" t="str">
        <f t="shared" si="1"/>
        <v>Mar_22_T1_32_SRS6_stem</v>
      </c>
      <c r="D33" s="2" t="s">
        <v>26</v>
      </c>
      <c r="E33" s="1">
        <v>44642</v>
      </c>
      <c r="F33" s="3">
        <v>0.49027777777777776</v>
      </c>
      <c r="G33" s="3">
        <v>0.49722222222222223</v>
      </c>
      <c r="H33" s="2" t="s">
        <v>31</v>
      </c>
      <c r="I33" s="4" t="s">
        <v>35</v>
      </c>
      <c r="J33" s="2" t="s">
        <v>28</v>
      </c>
      <c r="K33" s="2" t="s">
        <v>37</v>
      </c>
      <c r="L33" s="2" t="s">
        <v>37</v>
      </c>
      <c r="M33" s="2" t="s">
        <v>43</v>
      </c>
      <c r="N33" s="2" t="s">
        <v>45</v>
      </c>
      <c r="Q33" s="2">
        <v>0</v>
      </c>
      <c r="R33">
        <v>25.5</v>
      </c>
      <c r="S33" s="2">
        <v>27.2</v>
      </c>
      <c r="T33" s="2">
        <v>25.5</v>
      </c>
      <c r="U33" s="2">
        <v>23.5</v>
      </c>
      <c r="W33" t="s">
        <v>52</v>
      </c>
    </row>
    <row r="34" spans="1:23" x14ac:dyDescent="0.2">
      <c r="A34">
        <v>33</v>
      </c>
      <c r="B34" t="str">
        <f t="shared" si="0"/>
        <v>T1_33</v>
      </c>
      <c r="C34" t="str">
        <f t="shared" si="1"/>
        <v>Mar_22_T1_33_SRS6_stem</v>
      </c>
      <c r="D34" s="2" t="s">
        <v>26</v>
      </c>
      <c r="E34" s="1">
        <v>44642</v>
      </c>
      <c r="F34" s="3">
        <v>0.5</v>
      </c>
      <c r="G34" s="3">
        <v>0.50486111111111109</v>
      </c>
      <c r="H34" s="2" t="s">
        <v>31</v>
      </c>
      <c r="I34" s="4" t="s">
        <v>35</v>
      </c>
      <c r="J34" s="2" t="s">
        <v>28</v>
      </c>
      <c r="K34" s="2" t="s">
        <v>37</v>
      </c>
      <c r="L34" s="2" t="s">
        <v>37</v>
      </c>
      <c r="M34" s="2" t="s">
        <v>42</v>
      </c>
      <c r="N34" s="2" t="s">
        <v>50</v>
      </c>
      <c r="Q34" s="2">
        <v>50</v>
      </c>
      <c r="R34">
        <v>32.799999999999997</v>
      </c>
      <c r="S34" s="2">
        <v>31</v>
      </c>
      <c r="T34" s="2">
        <v>29</v>
      </c>
      <c r="W34" t="s">
        <v>52</v>
      </c>
    </row>
    <row r="35" spans="1:23" x14ac:dyDescent="0.2">
      <c r="A35">
        <v>34</v>
      </c>
      <c r="B35" t="str">
        <f t="shared" si="0"/>
        <v>T1_34</v>
      </c>
      <c r="C35" t="str">
        <f t="shared" si="1"/>
        <v>Mar_22_T1_34_SRS6_stem</v>
      </c>
      <c r="D35" s="2" t="s">
        <v>26</v>
      </c>
      <c r="E35" s="1">
        <v>44642</v>
      </c>
      <c r="F35" s="3">
        <v>0.50694444444444442</v>
      </c>
      <c r="G35" s="3">
        <v>0.51249999999999996</v>
      </c>
      <c r="H35" s="2" t="s">
        <v>31</v>
      </c>
      <c r="I35" s="4" t="s">
        <v>35</v>
      </c>
      <c r="J35" s="2" t="s">
        <v>28</v>
      </c>
      <c r="K35" s="2" t="s">
        <v>37</v>
      </c>
      <c r="L35" s="2" t="s">
        <v>37</v>
      </c>
      <c r="M35" s="2" t="s">
        <v>42</v>
      </c>
      <c r="N35" s="2" t="s">
        <v>50</v>
      </c>
      <c r="Q35" s="2">
        <v>100</v>
      </c>
      <c r="R35">
        <v>38.200000000000003</v>
      </c>
      <c r="S35" s="2">
        <v>28.6</v>
      </c>
      <c r="T35" s="2">
        <v>28.6</v>
      </c>
      <c r="U35" s="2">
        <v>23.5</v>
      </c>
      <c r="W35" t="s">
        <v>52</v>
      </c>
    </row>
    <row r="36" spans="1:23" x14ac:dyDescent="0.2">
      <c r="A36">
        <v>35</v>
      </c>
      <c r="B36" t="str">
        <f t="shared" si="0"/>
        <v>T1_35</v>
      </c>
      <c r="C36" t="str">
        <f t="shared" si="1"/>
        <v>Mar_22_T1_35_SRS6_stem</v>
      </c>
      <c r="D36" s="2" t="s">
        <v>26</v>
      </c>
      <c r="E36" s="1">
        <v>44642</v>
      </c>
      <c r="F36" s="3">
        <v>0.52430555555555558</v>
      </c>
      <c r="G36" s="3">
        <v>0.52777777777777779</v>
      </c>
      <c r="H36" s="2" t="s">
        <v>31</v>
      </c>
      <c r="I36" s="4" t="s">
        <v>35</v>
      </c>
      <c r="J36" s="2" t="s">
        <v>29</v>
      </c>
      <c r="K36" s="2" t="s">
        <v>37</v>
      </c>
      <c r="L36" s="2" t="s">
        <v>37</v>
      </c>
      <c r="M36" s="2" t="s">
        <v>42</v>
      </c>
      <c r="N36" s="2" t="s">
        <v>50</v>
      </c>
      <c r="Q36" s="2">
        <v>0</v>
      </c>
      <c r="R36">
        <v>26.1</v>
      </c>
      <c r="S36" s="2">
        <v>27.9</v>
      </c>
      <c r="T36" s="2">
        <v>28.9</v>
      </c>
      <c r="U36" s="2">
        <v>23.8</v>
      </c>
      <c r="W36" t="s">
        <v>52</v>
      </c>
    </row>
    <row r="37" spans="1:23" x14ac:dyDescent="0.2">
      <c r="A37">
        <v>36</v>
      </c>
      <c r="B37" t="str">
        <f t="shared" si="0"/>
        <v>T1_36</v>
      </c>
      <c r="C37" t="str">
        <f t="shared" si="1"/>
        <v>Mar_22_T1_36_SRS6_stem</v>
      </c>
      <c r="D37" s="2" t="s">
        <v>26</v>
      </c>
      <c r="E37" s="1">
        <v>44642</v>
      </c>
      <c r="F37" s="3">
        <v>0.53125</v>
      </c>
      <c r="G37" s="3">
        <v>0.53472222222222221</v>
      </c>
      <c r="H37" s="2" t="s">
        <v>31</v>
      </c>
      <c r="I37" s="4" t="s">
        <v>35</v>
      </c>
      <c r="J37" s="2" t="s">
        <v>29</v>
      </c>
      <c r="K37" s="2" t="s">
        <v>37</v>
      </c>
      <c r="L37" s="2" t="s">
        <v>37</v>
      </c>
      <c r="M37" s="2" t="s">
        <v>42</v>
      </c>
      <c r="N37" s="2" t="s">
        <v>50</v>
      </c>
      <c r="Q37" s="2">
        <v>50</v>
      </c>
      <c r="R37">
        <v>24.5</v>
      </c>
      <c r="S37" s="2">
        <v>27.3</v>
      </c>
      <c r="T37" s="2">
        <v>30.1</v>
      </c>
      <c r="W37" t="s">
        <v>52</v>
      </c>
    </row>
    <row r="38" spans="1:23" x14ac:dyDescent="0.2">
      <c r="A38">
        <v>37</v>
      </c>
      <c r="B38" t="str">
        <f t="shared" si="0"/>
        <v>T1_37</v>
      </c>
      <c r="C38" t="str">
        <f t="shared" si="1"/>
        <v>Mar_22_T1_37_SRS6_stem</v>
      </c>
      <c r="D38" s="2" t="s">
        <v>26</v>
      </c>
      <c r="E38" s="1">
        <v>44642</v>
      </c>
      <c r="F38" s="3">
        <v>0.53819444444444442</v>
      </c>
      <c r="G38" s="3">
        <v>0.54166666666666663</v>
      </c>
      <c r="H38" s="2" t="s">
        <v>31</v>
      </c>
      <c r="I38" s="4" t="s">
        <v>35</v>
      </c>
      <c r="J38" s="2" t="s">
        <v>29</v>
      </c>
      <c r="K38" s="2" t="s">
        <v>37</v>
      </c>
      <c r="L38" s="2" t="s">
        <v>37</v>
      </c>
      <c r="M38" s="2" t="s">
        <v>42</v>
      </c>
      <c r="N38" s="2" t="s">
        <v>50</v>
      </c>
      <c r="Q38" s="2">
        <v>100</v>
      </c>
      <c r="R38">
        <v>22.3</v>
      </c>
      <c r="S38" s="2">
        <v>26.9</v>
      </c>
      <c r="T38" s="2">
        <v>30.3</v>
      </c>
      <c r="W38" t="s">
        <v>52</v>
      </c>
    </row>
    <row r="39" spans="1:23" x14ac:dyDescent="0.2">
      <c r="A39">
        <v>38</v>
      </c>
      <c r="B39" t="str">
        <f t="shared" si="0"/>
        <v>T1_38</v>
      </c>
      <c r="C39" t="str">
        <f t="shared" si="1"/>
        <v>Mar_22_T1_38_SRS6_stem</v>
      </c>
      <c r="D39" s="2" t="s">
        <v>26</v>
      </c>
      <c r="E39" s="1">
        <v>44642</v>
      </c>
      <c r="F39" s="3">
        <v>0.55694444444444446</v>
      </c>
      <c r="G39" s="3">
        <v>0.56041666666666667</v>
      </c>
      <c r="H39" s="2" t="s">
        <v>31</v>
      </c>
      <c r="I39" s="4" t="s">
        <v>35</v>
      </c>
      <c r="J39" s="2" t="s">
        <v>28</v>
      </c>
      <c r="K39" s="2" t="s">
        <v>37</v>
      </c>
      <c r="L39" s="2" t="s">
        <v>37</v>
      </c>
      <c r="M39" s="2" t="s">
        <v>42</v>
      </c>
      <c r="N39" s="2" t="s">
        <v>50</v>
      </c>
      <c r="Q39" s="2">
        <v>50</v>
      </c>
      <c r="R39">
        <v>27.7</v>
      </c>
      <c r="S39" s="2">
        <v>27.5</v>
      </c>
      <c r="T39" s="2">
        <v>30.1</v>
      </c>
      <c r="U39" s="2">
        <v>23.9</v>
      </c>
      <c r="W39" t="s">
        <v>52</v>
      </c>
    </row>
    <row r="40" spans="1:23" x14ac:dyDescent="0.2">
      <c r="A40">
        <v>39</v>
      </c>
      <c r="B40" t="str">
        <f t="shared" si="0"/>
        <v>T1_39</v>
      </c>
      <c r="C40" t="str">
        <f t="shared" si="1"/>
        <v>Mar_22_T1_39_SRS6_stem</v>
      </c>
      <c r="D40" s="2" t="s">
        <v>26</v>
      </c>
      <c r="E40" s="1">
        <v>44642</v>
      </c>
      <c r="F40" s="3">
        <v>0.56944444444444442</v>
      </c>
      <c r="G40" s="3">
        <v>0.57430555555555551</v>
      </c>
      <c r="H40" s="2" t="s">
        <v>31</v>
      </c>
      <c r="I40" s="4" t="s">
        <v>35</v>
      </c>
      <c r="J40" s="2" t="s">
        <v>28</v>
      </c>
      <c r="K40" s="2" t="s">
        <v>37</v>
      </c>
      <c r="L40" s="2" t="s">
        <v>37</v>
      </c>
      <c r="M40" s="2" t="s">
        <v>42</v>
      </c>
      <c r="N40" s="2" t="s">
        <v>50</v>
      </c>
      <c r="Q40" s="2">
        <v>100</v>
      </c>
      <c r="R40">
        <v>27.1</v>
      </c>
      <c r="S40" s="2">
        <v>27.2</v>
      </c>
      <c r="T40" s="2">
        <v>26</v>
      </c>
      <c r="W40" t="s">
        <v>52</v>
      </c>
    </row>
    <row r="41" spans="1:23" x14ac:dyDescent="0.2">
      <c r="A41">
        <v>40</v>
      </c>
      <c r="B41" t="str">
        <f t="shared" si="0"/>
        <v>T1_40</v>
      </c>
      <c r="C41" t="str">
        <f t="shared" si="1"/>
        <v>Mar_22_T1_40_FLM30_stem</v>
      </c>
      <c r="D41" s="2" t="s">
        <v>25</v>
      </c>
      <c r="E41" s="1">
        <v>44643</v>
      </c>
      <c r="F41" s="3">
        <v>0.52465277777777775</v>
      </c>
      <c r="G41" s="3">
        <v>0.52743055555555551</v>
      </c>
      <c r="H41" s="2" t="s">
        <v>31</v>
      </c>
      <c r="I41" s="4" t="s">
        <v>36</v>
      </c>
      <c r="J41" s="2" t="s">
        <v>29</v>
      </c>
      <c r="K41" s="2" t="s">
        <v>40</v>
      </c>
      <c r="L41" s="2" t="s">
        <v>39</v>
      </c>
      <c r="M41" s="2" t="s">
        <v>45</v>
      </c>
      <c r="N41" s="2" t="s">
        <v>45</v>
      </c>
      <c r="Q41" s="2">
        <v>0</v>
      </c>
      <c r="R41">
        <v>20.8</v>
      </c>
      <c r="S41" s="2">
        <v>34</v>
      </c>
      <c r="T41" s="2">
        <v>30.6</v>
      </c>
      <c r="U41" s="2">
        <v>26.2</v>
      </c>
      <c r="W41" t="s">
        <v>52</v>
      </c>
    </row>
    <row r="42" spans="1:23" x14ac:dyDescent="0.2">
      <c r="A42">
        <v>41</v>
      </c>
      <c r="B42" t="str">
        <f t="shared" si="0"/>
        <v>T1_41</v>
      </c>
      <c r="C42" t="str">
        <f t="shared" si="1"/>
        <v>Mar_22_T1_41_FLM30_stem</v>
      </c>
      <c r="D42" s="2" t="s">
        <v>25</v>
      </c>
      <c r="E42" s="1">
        <v>44643</v>
      </c>
      <c r="F42" s="3">
        <v>0.53472222222222221</v>
      </c>
      <c r="G42" s="3">
        <v>0.53749999999999998</v>
      </c>
      <c r="H42" s="2" t="s">
        <v>31</v>
      </c>
      <c r="I42" s="4" t="s">
        <v>36</v>
      </c>
      <c r="J42" s="2" t="s">
        <v>29</v>
      </c>
      <c r="K42" s="2" t="s">
        <v>40</v>
      </c>
      <c r="L42" s="2" t="s">
        <v>39</v>
      </c>
      <c r="M42" s="2" t="s">
        <v>45</v>
      </c>
      <c r="N42" s="2" t="s">
        <v>45</v>
      </c>
      <c r="Q42" s="2">
        <v>50</v>
      </c>
      <c r="R42">
        <v>16.899999999999999</v>
      </c>
      <c r="S42" s="2">
        <v>34.299999999999997</v>
      </c>
      <c r="T42" s="2">
        <v>31.9</v>
      </c>
      <c r="W42" t="s">
        <v>52</v>
      </c>
    </row>
    <row r="43" spans="1:23" x14ac:dyDescent="0.2">
      <c r="A43">
        <v>42</v>
      </c>
      <c r="B43" t="str">
        <f t="shared" si="0"/>
        <v>T1_42</v>
      </c>
      <c r="C43" t="str">
        <f t="shared" si="1"/>
        <v>Mar_22_T1_42_FLM30_stem</v>
      </c>
      <c r="D43" s="2" t="s">
        <v>25</v>
      </c>
      <c r="E43" s="1">
        <v>44643</v>
      </c>
      <c r="F43" s="3">
        <v>0.54340277777777779</v>
      </c>
      <c r="G43" s="3">
        <v>0.54618055555555556</v>
      </c>
      <c r="H43" s="2" t="s">
        <v>31</v>
      </c>
      <c r="I43" s="4" t="s">
        <v>36</v>
      </c>
      <c r="J43" s="2" t="s">
        <v>29</v>
      </c>
      <c r="K43" s="2" t="s">
        <v>40</v>
      </c>
      <c r="L43" s="2" t="s">
        <v>39</v>
      </c>
      <c r="M43" s="2" t="s">
        <v>45</v>
      </c>
      <c r="N43" s="2" t="s">
        <v>45</v>
      </c>
      <c r="Q43" s="2">
        <v>100</v>
      </c>
      <c r="R43">
        <v>17.2</v>
      </c>
      <c r="S43" s="2">
        <v>34</v>
      </c>
      <c r="T43" s="2">
        <v>30.5</v>
      </c>
      <c r="U43" s="2"/>
      <c r="W43" t="s">
        <v>52</v>
      </c>
    </row>
    <row r="44" spans="1:23" x14ac:dyDescent="0.2">
      <c r="A44">
        <v>43</v>
      </c>
      <c r="B44" t="str">
        <f t="shared" si="0"/>
        <v>T1_43</v>
      </c>
      <c r="C44" t="str">
        <f t="shared" si="1"/>
        <v>Mar_22_T1_43_FLM30_stem</v>
      </c>
      <c r="D44" s="2" t="s">
        <v>25</v>
      </c>
      <c r="E44" s="1">
        <v>44643</v>
      </c>
      <c r="F44" s="3">
        <v>0.55555555555555558</v>
      </c>
      <c r="G44" s="3">
        <v>0.55833333333333335</v>
      </c>
      <c r="H44" s="2" t="s">
        <v>31</v>
      </c>
      <c r="I44" s="4" t="s">
        <v>36</v>
      </c>
      <c r="J44" s="2" t="s">
        <v>29</v>
      </c>
      <c r="K44" s="2" t="s">
        <v>40</v>
      </c>
      <c r="L44" s="2" t="s">
        <v>39</v>
      </c>
      <c r="M44" s="2" t="s">
        <v>45</v>
      </c>
      <c r="N44" s="2" t="s">
        <v>45</v>
      </c>
      <c r="Q44" s="2">
        <v>0</v>
      </c>
      <c r="R44">
        <v>12.4</v>
      </c>
      <c r="S44" s="2">
        <v>29</v>
      </c>
      <c r="T44" s="2">
        <v>30.2</v>
      </c>
      <c r="U44" s="2">
        <v>25.6</v>
      </c>
      <c r="W44" t="s">
        <v>52</v>
      </c>
    </row>
    <row r="45" spans="1:23" x14ac:dyDescent="0.2">
      <c r="A45">
        <v>44</v>
      </c>
      <c r="B45" t="str">
        <f t="shared" si="0"/>
        <v>T1_44</v>
      </c>
      <c r="C45" t="str">
        <f t="shared" si="1"/>
        <v>Mar_22_T1_44_FLM30_stem</v>
      </c>
      <c r="D45" s="2" t="s">
        <v>25</v>
      </c>
      <c r="E45" s="1">
        <v>44643</v>
      </c>
      <c r="F45" s="3">
        <v>0.51875000000000004</v>
      </c>
      <c r="G45" s="3">
        <v>0.56319444444444444</v>
      </c>
      <c r="H45" s="2" t="s">
        <v>31</v>
      </c>
      <c r="I45" s="4" t="s">
        <v>36</v>
      </c>
      <c r="J45" s="2" t="s">
        <v>29</v>
      </c>
      <c r="K45" s="2" t="s">
        <v>40</v>
      </c>
      <c r="L45" s="2" t="s">
        <v>39</v>
      </c>
      <c r="M45" s="2" t="s">
        <v>45</v>
      </c>
      <c r="N45" s="2" t="s">
        <v>45</v>
      </c>
      <c r="Q45" s="2">
        <v>50</v>
      </c>
      <c r="R45">
        <v>10.199999999999999</v>
      </c>
      <c r="S45" s="2">
        <v>26</v>
      </c>
      <c r="T45" s="2">
        <v>29.8</v>
      </c>
      <c r="W45" t="s">
        <v>52</v>
      </c>
    </row>
    <row r="46" spans="1:23" x14ac:dyDescent="0.2">
      <c r="A46">
        <v>45</v>
      </c>
      <c r="B46" t="str">
        <f t="shared" si="0"/>
        <v>T1_45</v>
      </c>
      <c r="C46" t="str">
        <f t="shared" si="1"/>
        <v>Mar_22_T1_45_FLM30_stem</v>
      </c>
      <c r="D46" s="2" t="s">
        <v>25</v>
      </c>
      <c r="E46" s="1">
        <v>44643</v>
      </c>
      <c r="F46" s="3">
        <v>0.52326388888888886</v>
      </c>
      <c r="G46" s="3">
        <v>0.52604166666666663</v>
      </c>
      <c r="H46" s="2" t="s">
        <v>31</v>
      </c>
      <c r="I46" s="4" t="s">
        <v>36</v>
      </c>
      <c r="J46" s="2" t="s">
        <v>29</v>
      </c>
      <c r="K46" s="2" t="s">
        <v>40</v>
      </c>
      <c r="L46" s="2" t="s">
        <v>39</v>
      </c>
      <c r="M46" s="2" t="s">
        <v>45</v>
      </c>
      <c r="N46" s="2" t="s">
        <v>45</v>
      </c>
      <c r="Q46" s="2">
        <v>100</v>
      </c>
      <c r="R46">
        <v>8.9</v>
      </c>
      <c r="S46" s="2">
        <v>31</v>
      </c>
      <c r="T46" s="2">
        <v>31.4</v>
      </c>
      <c r="W46" t="s">
        <v>52</v>
      </c>
    </row>
    <row r="47" spans="1:23" x14ac:dyDescent="0.2">
      <c r="A47">
        <v>46</v>
      </c>
      <c r="B47" t="str">
        <f t="shared" si="0"/>
        <v>T1_46</v>
      </c>
      <c r="C47" t="str">
        <f t="shared" si="1"/>
        <v>Mar_22_T1_46_FLM30_stem</v>
      </c>
      <c r="D47" s="2" t="s">
        <v>25</v>
      </c>
      <c r="E47" s="1">
        <v>44643</v>
      </c>
      <c r="F47" s="3">
        <v>0.57777777777777772</v>
      </c>
      <c r="G47" s="3">
        <v>0.5805555555555556</v>
      </c>
      <c r="H47" s="2" t="s">
        <v>31</v>
      </c>
      <c r="I47" s="4" t="s">
        <v>36</v>
      </c>
      <c r="J47" s="2" t="s">
        <v>29</v>
      </c>
      <c r="K47" s="2" t="s">
        <v>40</v>
      </c>
      <c r="L47" s="2" t="s">
        <v>39</v>
      </c>
      <c r="M47" s="2" t="s">
        <v>45</v>
      </c>
      <c r="N47" s="2" t="s">
        <v>45</v>
      </c>
      <c r="Q47" s="2">
        <v>0</v>
      </c>
      <c r="R47">
        <v>14</v>
      </c>
      <c r="S47" s="2">
        <v>28.2</v>
      </c>
      <c r="T47" s="2">
        <v>31.3</v>
      </c>
      <c r="U47" s="2">
        <v>25.8</v>
      </c>
      <c r="W47" t="s">
        <v>52</v>
      </c>
    </row>
    <row r="48" spans="1:23" x14ac:dyDescent="0.2">
      <c r="A48">
        <v>47</v>
      </c>
      <c r="B48" t="str">
        <f t="shared" si="0"/>
        <v>T1_47</v>
      </c>
      <c r="C48" t="str">
        <f t="shared" si="1"/>
        <v>Mar_22_T1_47_FLM30_stem</v>
      </c>
      <c r="D48" s="2" t="s">
        <v>25</v>
      </c>
      <c r="E48" s="1">
        <v>44643</v>
      </c>
      <c r="F48" s="3">
        <v>0.58402777777777781</v>
      </c>
      <c r="G48" s="3">
        <v>0.58888888888888891</v>
      </c>
      <c r="H48" s="2" t="s">
        <v>31</v>
      </c>
      <c r="I48" s="4" t="s">
        <v>36</v>
      </c>
      <c r="J48" s="2" t="s">
        <v>29</v>
      </c>
      <c r="K48" s="2" t="s">
        <v>40</v>
      </c>
      <c r="L48" s="2" t="s">
        <v>39</v>
      </c>
      <c r="M48" s="2" t="s">
        <v>45</v>
      </c>
      <c r="N48" s="2" t="s">
        <v>45</v>
      </c>
      <c r="Q48" s="2">
        <v>50</v>
      </c>
      <c r="R48">
        <v>12.4</v>
      </c>
      <c r="S48" s="2">
        <v>30.6</v>
      </c>
      <c r="T48" s="2">
        <v>28.8</v>
      </c>
      <c r="W48" t="s">
        <v>52</v>
      </c>
    </row>
    <row r="49" spans="1:23" x14ac:dyDescent="0.2">
      <c r="A49">
        <v>48</v>
      </c>
      <c r="B49" t="str">
        <f t="shared" si="0"/>
        <v>T1_48</v>
      </c>
      <c r="C49" t="str">
        <f t="shared" si="1"/>
        <v>Mar_22_T1_48_FLM30_stem</v>
      </c>
      <c r="D49" s="2" t="s">
        <v>25</v>
      </c>
      <c r="E49" s="1">
        <v>44643</v>
      </c>
      <c r="F49" s="3">
        <v>0.5913194444444444</v>
      </c>
      <c r="G49" s="3">
        <v>0.59409722222222228</v>
      </c>
      <c r="H49" s="2" t="s">
        <v>31</v>
      </c>
      <c r="I49" s="4" t="s">
        <v>36</v>
      </c>
      <c r="J49" s="2" t="s">
        <v>29</v>
      </c>
      <c r="K49" s="2" t="s">
        <v>40</v>
      </c>
      <c r="L49" s="2" t="s">
        <v>39</v>
      </c>
      <c r="M49" s="2" t="s">
        <v>45</v>
      </c>
      <c r="N49" s="2" t="s">
        <v>45</v>
      </c>
      <c r="Q49" s="2">
        <v>100</v>
      </c>
      <c r="R49">
        <v>10.8</v>
      </c>
      <c r="S49" s="2">
        <v>31.2</v>
      </c>
      <c r="T49" s="2">
        <v>30.4</v>
      </c>
      <c r="W49" t="s">
        <v>52</v>
      </c>
    </row>
    <row r="50" spans="1:23" x14ac:dyDescent="0.2">
      <c r="A50">
        <v>49</v>
      </c>
      <c r="B50" t="str">
        <f t="shared" si="0"/>
        <v>T1_49</v>
      </c>
      <c r="C50" t="str">
        <f t="shared" si="1"/>
        <v>Mar_22_T1_49_FLM30_stem</v>
      </c>
      <c r="D50" s="2" t="s">
        <v>25</v>
      </c>
      <c r="E50" s="1">
        <v>44643</v>
      </c>
      <c r="F50" s="3">
        <v>0.60833333333333328</v>
      </c>
      <c r="G50" s="3">
        <v>0.61111111111111116</v>
      </c>
      <c r="H50" s="2" t="s">
        <v>31</v>
      </c>
      <c r="I50" s="4" t="s">
        <v>36</v>
      </c>
      <c r="J50" s="2" t="s">
        <v>29</v>
      </c>
      <c r="K50" s="2" t="s">
        <v>40</v>
      </c>
      <c r="L50" s="2" t="s">
        <v>39</v>
      </c>
      <c r="M50" s="2" t="s">
        <v>45</v>
      </c>
      <c r="N50" s="2" t="s">
        <v>45</v>
      </c>
      <c r="Q50" s="2">
        <v>0</v>
      </c>
      <c r="R50">
        <v>15.9</v>
      </c>
      <c r="S50" s="2">
        <v>40.799999999999997</v>
      </c>
      <c r="T50" s="2">
        <v>30.9</v>
      </c>
      <c r="U50" s="2">
        <v>25.3</v>
      </c>
      <c r="W50" t="s">
        <v>52</v>
      </c>
    </row>
    <row r="51" spans="1:23" x14ac:dyDescent="0.2">
      <c r="A51">
        <v>50</v>
      </c>
      <c r="B51" t="str">
        <f t="shared" si="0"/>
        <v>T1_50</v>
      </c>
      <c r="C51" t="str">
        <f t="shared" si="1"/>
        <v>Mar_22_T1_50_FLM30_stem</v>
      </c>
      <c r="D51" s="2" t="s">
        <v>25</v>
      </c>
      <c r="E51" s="1">
        <v>44643</v>
      </c>
      <c r="F51" s="3">
        <v>0.61805555555555558</v>
      </c>
      <c r="G51" s="3">
        <v>0.625</v>
      </c>
      <c r="H51" s="2" t="s">
        <v>31</v>
      </c>
      <c r="I51" s="4" t="s">
        <v>36</v>
      </c>
      <c r="J51" s="2" t="s">
        <v>29</v>
      </c>
      <c r="K51" s="2" t="s">
        <v>40</v>
      </c>
      <c r="L51" s="2" t="s">
        <v>39</v>
      </c>
      <c r="M51" s="2" t="s">
        <v>45</v>
      </c>
      <c r="N51" s="2" t="s">
        <v>45</v>
      </c>
      <c r="Q51" s="2">
        <v>50</v>
      </c>
      <c r="R51">
        <v>11.5</v>
      </c>
      <c r="S51" s="2">
        <v>33.9</v>
      </c>
      <c r="T51" s="2">
        <v>31</v>
      </c>
      <c r="W51" t="s">
        <v>52</v>
      </c>
    </row>
    <row r="52" spans="1:23" x14ac:dyDescent="0.2">
      <c r="A52">
        <v>51</v>
      </c>
      <c r="B52" t="str">
        <f t="shared" si="0"/>
        <v>T1_51</v>
      </c>
      <c r="C52" t="str">
        <f t="shared" si="1"/>
        <v>Mar_22_T1_51_FLM30_stem</v>
      </c>
      <c r="D52" s="2" t="s">
        <v>25</v>
      </c>
      <c r="E52" s="1">
        <v>44643</v>
      </c>
      <c r="F52" s="3">
        <v>0.62638888888888888</v>
      </c>
      <c r="G52" s="3">
        <v>0.6333333333333333</v>
      </c>
      <c r="H52" s="2" t="s">
        <v>31</v>
      </c>
      <c r="I52" s="4" t="s">
        <v>36</v>
      </c>
      <c r="J52" s="2" t="s">
        <v>29</v>
      </c>
      <c r="K52" s="2" t="s">
        <v>40</v>
      </c>
      <c r="L52" s="2" t="s">
        <v>39</v>
      </c>
      <c r="M52" s="2" t="s">
        <v>45</v>
      </c>
      <c r="N52" s="2" t="s">
        <v>45</v>
      </c>
      <c r="Q52" s="2">
        <v>100</v>
      </c>
      <c r="R52">
        <v>10.8</v>
      </c>
      <c r="S52" s="2">
        <v>32.1</v>
      </c>
      <c r="T52" s="2">
        <v>31</v>
      </c>
      <c r="W52" t="s">
        <v>52</v>
      </c>
    </row>
    <row r="53" spans="1:23" x14ac:dyDescent="0.2">
      <c r="A53">
        <v>52</v>
      </c>
      <c r="B53" t="str">
        <f t="shared" si="0"/>
        <v>T1_52</v>
      </c>
      <c r="C53" t="str">
        <f t="shared" si="1"/>
        <v>Mar_22_T1_52_FLM30_stem</v>
      </c>
      <c r="D53" s="2" t="s">
        <v>25</v>
      </c>
      <c r="E53" s="1">
        <v>44643</v>
      </c>
      <c r="F53" s="3">
        <v>0.42777777777777776</v>
      </c>
      <c r="G53" s="3">
        <v>0.43125000000000002</v>
      </c>
      <c r="H53" s="2" t="s">
        <v>31</v>
      </c>
      <c r="I53" s="4" t="s">
        <v>36</v>
      </c>
      <c r="J53" s="2" t="s">
        <v>29</v>
      </c>
      <c r="K53" s="2" t="s">
        <v>37</v>
      </c>
      <c r="L53" s="2" t="s">
        <v>37</v>
      </c>
      <c r="M53" s="2" t="s">
        <v>42</v>
      </c>
      <c r="N53" s="2" t="s">
        <v>50</v>
      </c>
      <c r="Q53" s="2">
        <v>0</v>
      </c>
      <c r="R53">
        <v>16.600000000000001</v>
      </c>
      <c r="S53" s="2">
        <v>37.4</v>
      </c>
      <c r="T53" s="2">
        <v>30.6</v>
      </c>
      <c r="U53" s="2">
        <v>25.2</v>
      </c>
      <c r="W53" t="s">
        <v>52</v>
      </c>
    </row>
    <row r="54" spans="1:23" x14ac:dyDescent="0.2">
      <c r="A54">
        <v>53</v>
      </c>
      <c r="B54" t="str">
        <f t="shared" si="0"/>
        <v>T1_53</v>
      </c>
      <c r="C54" t="str">
        <f t="shared" si="1"/>
        <v>Mar_22_T1_53_FLM30_stem</v>
      </c>
      <c r="D54" s="2" t="s">
        <v>25</v>
      </c>
      <c r="E54" s="1">
        <v>44643</v>
      </c>
      <c r="F54" s="3">
        <v>0.44027777777777777</v>
      </c>
      <c r="G54" s="3">
        <v>0.44444444444444442</v>
      </c>
      <c r="H54" s="2" t="s">
        <v>31</v>
      </c>
      <c r="I54" s="4" t="s">
        <v>36</v>
      </c>
      <c r="J54" s="2" t="s">
        <v>29</v>
      </c>
      <c r="K54" s="2" t="s">
        <v>37</v>
      </c>
      <c r="L54" s="2" t="s">
        <v>37</v>
      </c>
      <c r="M54" s="2" t="s">
        <v>42</v>
      </c>
      <c r="N54" s="2" t="s">
        <v>50</v>
      </c>
      <c r="Q54" s="2">
        <v>50</v>
      </c>
      <c r="R54">
        <v>15</v>
      </c>
      <c r="S54" s="2">
        <v>28.9</v>
      </c>
      <c r="T54" s="2">
        <v>30.5</v>
      </c>
      <c r="W54" t="s">
        <v>52</v>
      </c>
    </row>
    <row r="55" spans="1:23" x14ac:dyDescent="0.2">
      <c r="A55">
        <v>54</v>
      </c>
      <c r="B55" t="str">
        <f t="shared" si="0"/>
        <v>T1_54</v>
      </c>
      <c r="C55" t="str">
        <f t="shared" si="1"/>
        <v>Mar_22_T1_54_FLM30_stem</v>
      </c>
      <c r="D55" s="2" t="s">
        <v>25</v>
      </c>
      <c r="E55" s="1">
        <v>44643</v>
      </c>
      <c r="F55" s="3">
        <v>0.45</v>
      </c>
      <c r="G55" s="3">
        <v>0.45347222222222222</v>
      </c>
      <c r="H55" s="2" t="s">
        <v>31</v>
      </c>
      <c r="I55" s="4" t="s">
        <v>36</v>
      </c>
      <c r="J55" s="2" t="s">
        <v>29</v>
      </c>
      <c r="K55" s="2" t="s">
        <v>37</v>
      </c>
      <c r="L55" s="2" t="s">
        <v>37</v>
      </c>
      <c r="M55" s="2" t="s">
        <v>42</v>
      </c>
      <c r="N55" s="2" t="s">
        <v>50</v>
      </c>
      <c r="Q55" s="2">
        <v>100</v>
      </c>
      <c r="R55">
        <v>13.7</v>
      </c>
      <c r="S55" s="2">
        <v>28.8</v>
      </c>
      <c r="T55" s="2">
        <v>30.7</v>
      </c>
      <c r="W55" t="s">
        <v>52</v>
      </c>
    </row>
    <row r="56" spans="1:23" x14ac:dyDescent="0.2">
      <c r="A56">
        <v>55</v>
      </c>
      <c r="B56" t="str">
        <f t="shared" si="0"/>
        <v>T1_55</v>
      </c>
      <c r="C56" t="str">
        <f t="shared" si="1"/>
        <v>Mar_22_T1_55_FLM30_stem</v>
      </c>
      <c r="D56" s="2" t="s">
        <v>25</v>
      </c>
      <c r="E56" s="1">
        <v>44643</v>
      </c>
      <c r="F56" s="3">
        <v>0.46319444444444446</v>
      </c>
      <c r="G56" s="3">
        <v>0.46944444444444444</v>
      </c>
      <c r="H56" s="2" t="s">
        <v>31</v>
      </c>
      <c r="I56" s="4" t="s">
        <v>36</v>
      </c>
      <c r="J56" s="2" t="s">
        <v>29</v>
      </c>
      <c r="K56" s="2" t="s">
        <v>37</v>
      </c>
      <c r="L56" s="2" t="s">
        <v>37</v>
      </c>
      <c r="M56" s="2" t="s">
        <v>42</v>
      </c>
      <c r="N56" s="2" t="s">
        <v>50</v>
      </c>
      <c r="Q56" s="2">
        <v>0</v>
      </c>
      <c r="R56">
        <v>19.399999999999999</v>
      </c>
      <c r="S56" s="2">
        <v>27.9</v>
      </c>
      <c r="T56" s="2">
        <v>30.2</v>
      </c>
      <c r="U56" s="2">
        <v>25.2</v>
      </c>
      <c r="W56" t="s">
        <v>52</v>
      </c>
    </row>
    <row r="57" spans="1:23" x14ac:dyDescent="0.2">
      <c r="A57">
        <v>56</v>
      </c>
      <c r="B57" t="str">
        <f t="shared" si="0"/>
        <v>T1_56</v>
      </c>
      <c r="C57" t="str">
        <f t="shared" si="1"/>
        <v>Mar_22_T1_56_FLM30_stem</v>
      </c>
      <c r="D57" s="2" t="s">
        <v>25</v>
      </c>
      <c r="E57" s="1">
        <v>44643</v>
      </c>
      <c r="F57" s="3">
        <v>0.47361111111111109</v>
      </c>
      <c r="G57" s="3">
        <v>0.47986111111111113</v>
      </c>
      <c r="H57" s="2" t="s">
        <v>31</v>
      </c>
      <c r="I57" s="4" t="s">
        <v>36</v>
      </c>
      <c r="J57" s="2" t="s">
        <v>29</v>
      </c>
      <c r="K57" s="2" t="s">
        <v>37</v>
      </c>
      <c r="L57" s="2" t="s">
        <v>37</v>
      </c>
      <c r="M57" s="2" t="s">
        <v>42</v>
      </c>
      <c r="N57" s="2" t="s">
        <v>50</v>
      </c>
      <c r="Q57" s="2">
        <v>50</v>
      </c>
      <c r="R57">
        <v>17.5</v>
      </c>
      <c r="S57" s="2">
        <v>24.4</v>
      </c>
      <c r="T57" s="2">
        <v>30.3</v>
      </c>
      <c r="W57" t="s">
        <v>52</v>
      </c>
    </row>
    <row r="58" spans="1:23" x14ac:dyDescent="0.2">
      <c r="A58">
        <v>57</v>
      </c>
      <c r="B58" t="str">
        <f t="shared" si="0"/>
        <v>T1_57</v>
      </c>
      <c r="C58" t="str">
        <f t="shared" si="1"/>
        <v>Mar_22_T1_57_FLM30_stem</v>
      </c>
      <c r="D58" s="2" t="s">
        <v>25</v>
      </c>
      <c r="E58" s="1">
        <v>44643</v>
      </c>
      <c r="F58" s="3">
        <v>0.48472222222222222</v>
      </c>
      <c r="G58" s="3">
        <v>0.49166666666666664</v>
      </c>
      <c r="H58" s="2" t="s">
        <v>31</v>
      </c>
      <c r="I58" s="4" t="s">
        <v>36</v>
      </c>
      <c r="J58" s="2" t="s">
        <v>29</v>
      </c>
      <c r="K58" s="2" t="s">
        <v>37</v>
      </c>
      <c r="L58" s="2" t="s">
        <v>37</v>
      </c>
      <c r="M58" s="2" t="s">
        <v>42</v>
      </c>
      <c r="N58" s="2" t="s">
        <v>50</v>
      </c>
      <c r="Q58" s="2">
        <v>100</v>
      </c>
      <c r="R58">
        <v>21.6</v>
      </c>
      <c r="S58" s="2">
        <v>25.7</v>
      </c>
      <c r="T58" s="2">
        <v>28.8</v>
      </c>
      <c r="W58" t="s">
        <v>52</v>
      </c>
    </row>
    <row r="59" spans="1:23" x14ac:dyDescent="0.2">
      <c r="A59">
        <v>58</v>
      </c>
      <c r="B59" t="str">
        <f t="shared" si="0"/>
        <v>T1_58</v>
      </c>
      <c r="C59" t="str">
        <f t="shared" si="1"/>
        <v>Mar_22_T1_58_FLM30_CWD</v>
      </c>
      <c r="D59" s="2" t="s">
        <v>25</v>
      </c>
      <c r="E59" s="1">
        <v>44643</v>
      </c>
      <c r="F59" s="3">
        <v>0.50972222222222219</v>
      </c>
      <c r="G59" s="3">
        <v>0.52013888888888893</v>
      </c>
      <c r="H59" s="2" t="s">
        <v>33</v>
      </c>
      <c r="I59" s="4" t="s">
        <v>36</v>
      </c>
      <c r="K59" s="2" t="s">
        <v>37</v>
      </c>
      <c r="L59" s="2" t="s">
        <v>37</v>
      </c>
      <c r="M59" s="2" t="s">
        <v>46</v>
      </c>
      <c r="N59" s="2" t="s">
        <v>51</v>
      </c>
      <c r="R59">
        <v>8</v>
      </c>
      <c r="S59" s="2">
        <v>45</v>
      </c>
      <c r="T59" s="2">
        <v>31</v>
      </c>
      <c r="W59" t="s">
        <v>52</v>
      </c>
    </row>
    <row r="60" spans="1:23" x14ac:dyDescent="0.2">
      <c r="A60">
        <v>59</v>
      </c>
      <c r="B60" t="str">
        <f t="shared" si="0"/>
        <v>T1_59</v>
      </c>
      <c r="C60" t="str">
        <f t="shared" si="1"/>
        <v>Mar_22_T1_59_FLM30_pneumatophore</v>
      </c>
      <c r="D60" s="2" t="s">
        <v>25</v>
      </c>
      <c r="E60" s="1">
        <v>44643</v>
      </c>
      <c r="F60" s="3">
        <v>0.66249999999999998</v>
      </c>
      <c r="G60" s="3">
        <v>0.54097222222222219</v>
      </c>
      <c r="H60" s="2" t="s">
        <v>34</v>
      </c>
      <c r="I60" s="4" t="s">
        <v>36</v>
      </c>
      <c r="J60" s="2" t="s">
        <v>29</v>
      </c>
      <c r="K60" s="2" t="s">
        <v>37</v>
      </c>
      <c r="L60" s="2" t="s">
        <v>37</v>
      </c>
      <c r="M60" s="2" t="s">
        <v>47</v>
      </c>
      <c r="N60" s="2" t="s">
        <v>51</v>
      </c>
      <c r="S60" s="2">
        <v>34.5</v>
      </c>
      <c r="W60" t="s">
        <v>52</v>
      </c>
    </row>
    <row r="61" spans="1:23" x14ac:dyDescent="0.2">
      <c r="A61">
        <v>60</v>
      </c>
      <c r="B61" t="str">
        <f t="shared" si="0"/>
        <v>T1_60</v>
      </c>
      <c r="C61" t="str">
        <f t="shared" si="1"/>
        <v>Mar_22_T1_60_FLM30_pneumatophore</v>
      </c>
      <c r="D61" s="2" t="s">
        <v>25</v>
      </c>
      <c r="E61" s="1">
        <v>44643</v>
      </c>
      <c r="F61" s="3">
        <v>0.5493055555555556</v>
      </c>
      <c r="G61" s="3">
        <v>0.55277777777777781</v>
      </c>
      <c r="H61" s="2" t="s">
        <v>34</v>
      </c>
      <c r="I61" s="4" t="s">
        <v>36</v>
      </c>
      <c r="J61" s="2" t="s">
        <v>29</v>
      </c>
      <c r="K61" s="2" t="s">
        <v>37</v>
      </c>
      <c r="L61" s="2" t="s">
        <v>37</v>
      </c>
      <c r="M61" s="2" t="s">
        <v>47</v>
      </c>
      <c r="N61" s="2" t="s">
        <v>51</v>
      </c>
      <c r="S61" s="2">
        <v>34.299999999999997</v>
      </c>
      <c r="W61" t="s">
        <v>52</v>
      </c>
    </row>
    <row r="62" spans="1:23" x14ac:dyDescent="0.2">
      <c r="A62">
        <v>61</v>
      </c>
      <c r="B62" t="str">
        <f t="shared" si="0"/>
        <v>T1_61</v>
      </c>
      <c r="C62" t="str">
        <f t="shared" si="1"/>
        <v>Mar_22_T1_61_FLM30_pneumatophore</v>
      </c>
      <c r="D62" s="2" t="s">
        <v>25</v>
      </c>
      <c r="E62" s="1">
        <v>44643</v>
      </c>
      <c r="F62" s="3">
        <v>0.55625000000000002</v>
      </c>
      <c r="G62" s="3">
        <v>0.55972222222222223</v>
      </c>
      <c r="H62" s="2" t="s">
        <v>34</v>
      </c>
      <c r="I62" s="4" t="s">
        <v>36</v>
      </c>
      <c r="J62" s="2" t="s">
        <v>29</v>
      </c>
      <c r="K62" s="2" t="s">
        <v>37</v>
      </c>
      <c r="L62" s="2" t="s">
        <v>37</v>
      </c>
      <c r="M62" s="2" t="s">
        <v>47</v>
      </c>
      <c r="N62" s="2" t="s">
        <v>51</v>
      </c>
      <c r="S62" s="2">
        <v>32.6</v>
      </c>
      <c r="W62" t="s">
        <v>52</v>
      </c>
    </row>
    <row r="63" spans="1:23" x14ac:dyDescent="0.2">
      <c r="A63">
        <v>62</v>
      </c>
      <c r="B63" t="str">
        <f t="shared" si="0"/>
        <v>T1_62</v>
      </c>
      <c r="C63" t="str">
        <f t="shared" si="1"/>
        <v>Mar_22_T1_62_BL60_stem</v>
      </c>
      <c r="D63" s="2" t="s">
        <v>27</v>
      </c>
      <c r="E63" s="1">
        <v>44644</v>
      </c>
      <c r="F63" s="3">
        <v>0.55694444444444446</v>
      </c>
      <c r="G63" s="3">
        <v>0.55972222222222223</v>
      </c>
      <c r="H63" s="2" t="s">
        <v>31</v>
      </c>
      <c r="I63" s="4" t="s">
        <v>35</v>
      </c>
      <c r="J63" s="2" t="s">
        <v>28</v>
      </c>
      <c r="K63" s="2" t="s">
        <v>37</v>
      </c>
      <c r="L63" s="2" t="s">
        <v>37</v>
      </c>
      <c r="M63" s="2" t="s">
        <v>48</v>
      </c>
      <c r="N63" s="2" t="s">
        <v>51</v>
      </c>
      <c r="Q63" s="2">
        <v>0</v>
      </c>
      <c r="R63">
        <v>3.8</v>
      </c>
      <c r="S63" s="2">
        <v>30.3</v>
      </c>
      <c r="W63" t="s">
        <v>52</v>
      </c>
    </row>
    <row r="64" spans="1:23" x14ac:dyDescent="0.2">
      <c r="A64">
        <v>63</v>
      </c>
      <c r="B64" t="str">
        <f t="shared" si="0"/>
        <v>T1_63</v>
      </c>
      <c r="C64" t="str">
        <f t="shared" si="1"/>
        <v>Mar_22_T1_63_BL60_stem</v>
      </c>
      <c r="D64" s="2" t="s">
        <v>27</v>
      </c>
      <c r="E64" s="1">
        <v>44644</v>
      </c>
      <c r="F64" s="3">
        <v>0.52222222222222225</v>
      </c>
      <c r="G64" s="3">
        <v>0.56666666666666665</v>
      </c>
      <c r="H64" s="2" t="s">
        <v>31</v>
      </c>
      <c r="I64" s="4" t="s">
        <v>35</v>
      </c>
      <c r="J64" s="2" t="s">
        <v>28</v>
      </c>
      <c r="K64" s="2" t="s">
        <v>37</v>
      </c>
      <c r="L64" s="2" t="s">
        <v>37</v>
      </c>
      <c r="M64" s="2" t="s">
        <v>43</v>
      </c>
      <c r="N64" s="2" t="s">
        <v>45</v>
      </c>
      <c r="Q64" s="2">
        <v>50</v>
      </c>
      <c r="R64">
        <v>8</v>
      </c>
      <c r="S64" s="2">
        <v>32.1</v>
      </c>
      <c r="T64" s="2">
        <v>30.8</v>
      </c>
      <c r="U64" s="2">
        <v>24.5</v>
      </c>
      <c r="W64" t="s">
        <v>52</v>
      </c>
    </row>
    <row r="65" spans="1:23" x14ac:dyDescent="0.2">
      <c r="A65">
        <v>64</v>
      </c>
      <c r="B65" t="str">
        <f t="shared" si="0"/>
        <v>T1_64</v>
      </c>
      <c r="C65" t="str">
        <f t="shared" si="1"/>
        <v>Mar_22_T1_64_BL60_stem</v>
      </c>
      <c r="D65" s="2" t="s">
        <v>27</v>
      </c>
      <c r="E65" s="1">
        <v>44644</v>
      </c>
      <c r="F65" s="3">
        <v>0.56944444444444442</v>
      </c>
      <c r="G65" s="3">
        <v>0.57222222222222219</v>
      </c>
      <c r="H65" s="2" t="s">
        <v>31</v>
      </c>
      <c r="I65" s="4" t="s">
        <v>35</v>
      </c>
      <c r="J65" s="2" t="s">
        <v>28</v>
      </c>
      <c r="K65" s="2" t="s">
        <v>37</v>
      </c>
      <c r="L65" s="2" t="s">
        <v>37</v>
      </c>
      <c r="M65" s="2" t="s">
        <v>43</v>
      </c>
      <c r="N65" s="2" t="s">
        <v>45</v>
      </c>
      <c r="Q65" s="2">
        <v>100</v>
      </c>
      <c r="R65">
        <v>7.6</v>
      </c>
      <c r="S65" s="2">
        <v>32.1</v>
      </c>
      <c r="W65" t="s">
        <v>52</v>
      </c>
    </row>
    <row r="66" spans="1:23" x14ac:dyDescent="0.2">
      <c r="A66">
        <v>65</v>
      </c>
      <c r="B66" t="str">
        <f t="shared" si="0"/>
        <v>T1_65</v>
      </c>
      <c r="C66" t="str">
        <f t="shared" si="1"/>
        <v>Mar_22_T1_65_BL60_stem</v>
      </c>
      <c r="D66" s="2" t="s">
        <v>27</v>
      </c>
      <c r="E66" s="1">
        <v>44644</v>
      </c>
      <c r="F66" s="3">
        <v>0.57638888888888884</v>
      </c>
      <c r="G66" s="3">
        <v>0.53749999999999998</v>
      </c>
      <c r="H66" s="2" t="s">
        <v>31</v>
      </c>
      <c r="I66" s="4" t="s">
        <v>35</v>
      </c>
      <c r="J66" s="2" t="s">
        <v>28</v>
      </c>
      <c r="K66" s="2" t="s">
        <v>37</v>
      </c>
      <c r="L66" s="2" t="s">
        <v>37</v>
      </c>
      <c r="M66" s="2" t="s">
        <v>43</v>
      </c>
      <c r="N66" s="2" t="s">
        <v>45</v>
      </c>
      <c r="Q66" s="2">
        <v>0</v>
      </c>
      <c r="R66">
        <v>6.4</v>
      </c>
      <c r="S66" s="2">
        <v>30.6</v>
      </c>
      <c r="W66" t="s">
        <v>52</v>
      </c>
    </row>
    <row r="67" spans="1:23" x14ac:dyDescent="0.2">
      <c r="A67">
        <v>66</v>
      </c>
      <c r="B67" t="str">
        <f t="shared" ref="B67:B86" si="2">"T1_"&amp;A67</f>
        <v>T1_66</v>
      </c>
      <c r="C67" t="str">
        <f t="shared" ref="C67:C87" si="3">"Mar_22_"&amp;B67&amp;"_"&amp;D67&amp;"_"&amp;H67</f>
        <v>Mar_22_T1_66_BL60_stem</v>
      </c>
      <c r="D67" s="2" t="s">
        <v>27</v>
      </c>
      <c r="E67" s="1">
        <v>44644</v>
      </c>
      <c r="F67" s="3">
        <v>0.58333333333333337</v>
      </c>
      <c r="G67" s="3">
        <v>0.58680555555555558</v>
      </c>
      <c r="H67" s="2" t="s">
        <v>31</v>
      </c>
      <c r="I67" s="4" t="s">
        <v>36</v>
      </c>
      <c r="J67" s="2" t="s">
        <v>28</v>
      </c>
      <c r="K67" s="2" t="s">
        <v>37</v>
      </c>
      <c r="L67" s="2" t="s">
        <v>37</v>
      </c>
      <c r="M67" s="2" t="s">
        <v>43</v>
      </c>
      <c r="N67" s="2" t="s">
        <v>45</v>
      </c>
      <c r="Q67" s="2">
        <v>100</v>
      </c>
      <c r="R67">
        <v>11.5</v>
      </c>
      <c r="S67" s="2">
        <v>30.8</v>
      </c>
      <c r="W67" t="s">
        <v>52</v>
      </c>
    </row>
    <row r="68" spans="1:23" x14ac:dyDescent="0.2">
      <c r="A68">
        <v>67</v>
      </c>
      <c r="B68" t="str">
        <f t="shared" si="2"/>
        <v>T1_67</v>
      </c>
      <c r="C68" t="str">
        <f t="shared" si="3"/>
        <v>Mar_22_T1_67_BL60_stem</v>
      </c>
      <c r="D68" s="2" t="s">
        <v>27</v>
      </c>
      <c r="E68" s="1">
        <v>44644</v>
      </c>
      <c r="F68" s="3">
        <v>0.5961805555555556</v>
      </c>
      <c r="G68" s="3">
        <v>0.59965277777777781</v>
      </c>
      <c r="H68" s="2" t="s">
        <v>31</v>
      </c>
      <c r="I68" s="4" t="s">
        <v>36</v>
      </c>
      <c r="J68" s="2" t="s">
        <v>28</v>
      </c>
      <c r="K68" s="2" t="s">
        <v>37</v>
      </c>
      <c r="L68" s="2" t="s">
        <v>37</v>
      </c>
      <c r="M68" s="2" t="s">
        <v>43</v>
      </c>
      <c r="N68" s="2" t="s">
        <v>45</v>
      </c>
      <c r="Q68" s="2">
        <v>50</v>
      </c>
      <c r="R68">
        <v>11.8</v>
      </c>
      <c r="S68" s="2">
        <v>30.8</v>
      </c>
      <c r="T68" s="2">
        <v>30.4</v>
      </c>
      <c r="U68" s="2">
        <v>24.1</v>
      </c>
      <c r="W68" t="s">
        <v>52</v>
      </c>
    </row>
    <row r="69" spans="1:23" x14ac:dyDescent="0.2">
      <c r="A69">
        <v>68</v>
      </c>
      <c r="B69" t="str">
        <f t="shared" si="2"/>
        <v>T1_68</v>
      </c>
      <c r="C69" t="str">
        <f t="shared" si="3"/>
        <v>Mar_22_T1_68_BL60_stem</v>
      </c>
      <c r="D69" s="2" t="s">
        <v>27</v>
      </c>
      <c r="E69" s="1">
        <v>44644</v>
      </c>
      <c r="F69" s="3">
        <v>0.60243055555555558</v>
      </c>
      <c r="G69" s="3">
        <v>0.60590277777777779</v>
      </c>
      <c r="H69" s="2" t="s">
        <v>31</v>
      </c>
      <c r="I69" s="4" t="s">
        <v>36</v>
      </c>
      <c r="J69" s="2" t="s">
        <v>28</v>
      </c>
      <c r="K69" s="2" t="s">
        <v>37</v>
      </c>
      <c r="L69" s="2" t="s">
        <v>37</v>
      </c>
      <c r="M69" s="2" t="s">
        <v>43</v>
      </c>
      <c r="N69" s="2" t="s">
        <v>45</v>
      </c>
      <c r="Q69" s="2">
        <v>0</v>
      </c>
      <c r="R69">
        <v>4.0999999999999996</v>
      </c>
      <c r="S69" s="2">
        <v>29.6</v>
      </c>
      <c r="W69" t="s">
        <v>52</v>
      </c>
    </row>
    <row r="70" spans="1:23" x14ac:dyDescent="0.2">
      <c r="A70">
        <v>69</v>
      </c>
      <c r="B70" t="str">
        <f t="shared" si="2"/>
        <v>T1_69</v>
      </c>
      <c r="C70" t="str">
        <f t="shared" si="3"/>
        <v>Mar_22_T1_69_BL60_stem</v>
      </c>
      <c r="D70" s="2" t="s">
        <v>27</v>
      </c>
      <c r="E70" s="1">
        <v>44644</v>
      </c>
      <c r="F70" s="3">
        <v>0.4597222222222222</v>
      </c>
      <c r="G70" s="3">
        <v>0.46250000000000002</v>
      </c>
      <c r="H70" s="2" t="s">
        <v>31</v>
      </c>
      <c r="I70" s="4" t="s">
        <v>35</v>
      </c>
      <c r="J70" s="2" t="s">
        <v>28</v>
      </c>
      <c r="K70" s="2" t="s">
        <v>37</v>
      </c>
      <c r="L70" s="2" t="s">
        <v>37</v>
      </c>
      <c r="M70" s="2" t="s">
        <v>43</v>
      </c>
      <c r="N70" s="2" t="s">
        <v>45</v>
      </c>
      <c r="Q70" s="2">
        <v>170</v>
      </c>
      <c r="R70">
        <v>9.5</v>
      </c>
      <c r="S70" s="2">
        <v>31.1</v>
      </c>
      <c r="W70" t="s">
        <v>52</v>
      </c>
    </row>
    <row r="71" spans="1:23" x14ac:dyDescent="0.2">
      <c r="A71">
        <v>70</v>
      </c>
      <c r="B71" t="str">
        <f t="shared" si="2"/>
        <v>T1_70</v>
      </c>
      <c r="C71" t="str">
        <f t="shared" si="3"/>
        <v>Mar_22_T1_70_BL60_stem</v>
      </c>
      <c r="D71" s="2" t="s">
        <v>27</v>
      </c>
      <c r="E71" s="1">
        <v>44644</v>
      </c>
      <c r="F71" s="3">
        <v>0.46527777777777779</v>
      </c>
      <c r="G71" s="3">
        <v>0.46875</v>
      </c>
      <c r="H71" s="2" t="s">
        <v>31</v>
      </c>
      <c r="I71" s="4" t="s">
        <v>35</v>
      </c>
      <c r="J71" s="2" t="s">
        <v>28</v>
      </c>
      <c r="K71" s="2" t="s">
        <v>37</v>
      </c>
      <c r="L71" s="2" t="s">
        <v>37</v>
      </c>
      <c r="M71" s="2" t="s">
        <v>43</v>
      </c>
      <c r="N71" s="2" t="s">
        <v>45</v>
      </c>
      <c r="Q71" s="2">
        <v>50</v>
      </c>
      <c r="R71">
        <v>5.4</v>
      </c>
      <c r="S71" s="2">
        <v>30.4</v>
      </c>
      <c r="T71" s="2">
        <v>31.3</v>
      </c>
      <c r="W71" t="s">
        <v>52</v>
      </c>
    </row>
    <row r="72" spans="1:23" x14ac:dyDescent="0.2">
      <c r="A72">
        <v>71</v>
      </c>
      <c r="B72" t="str">
        <f t="shared" si="2"/>
        <v>T1_71</v>
      </c>
      <c r="C72" t="str">
        <f t="shared" si="3"/>
        <v>Mar_22_T1_71_BL60_stem</v>
      </c>
      <c r="D72" s="2" t="s">
        <v>27</v>
      </c>
      <c r="E72" s="1">
        <v>44644</v>
      </c>
      <c r="F72" s="3">
        <v>0.48749999999999999</v>
      </c>
      <c r="G72" s="3">
        <v>0.4909722222222222</v>
      </c>
      <c r="H72" s="2" t="s">
        <v>31</v>
      </c>
      <c r="I72" s="4" t="s">
        <v>35</v>
      </c>
      <c r="J72" s="2" t="s">
        <v>28</v>
      </c>
      <c r="K72" s="2" t="s">
        <v>37</v>
      </c>
      <c r="L72" s="2" t="s">
        <v>37</v>
      </c>
      <c r="M72" s="2" t="s">
        <v>48</v>
      </c>
      <c r="N72" s="2" t="s">
        <v>51</v>
      </c>
      <c r="Q72" s="2">
        <v>0</v>
      </c>
      <c r="R72">
        <v>3.8</v>
      </c>
      <c r="S72" s="2">
        <v>39.5</v>
      </c>
      <c r="W72" t="s">
        <v>52</v>
      </c>
    </row>
    <row r="73" spans="1:23" x14ac:dyDescent="0.2">
      <c r="A73">
        <v>72</v>
      </c>
      <c r="B73" t="str">
        <f t="shared" si="2"/>
        <v>T1_72</v>
      </c>
      <c r="C73" t="str">
        <f t="shared" si="3"/>
        <v>Mar_22_T1_72_BL60_stem</v>
      </c>
      <c r="D73" s="2" t="s">
        <v>27</v>
      </c>
      <c r="E73" s="1">
        <v>44644</v>
      </c>
      <c r="F73" s="3">
        <v>0.49513888888888891</v>
      </c>
      <c r="G73" s="3">
        <v>0.49861111111111112</v>
      </c>
      <c r="H73" s="2" t="s">
        <v>31</v>
      </c>
      <c r="I73" s="4" t="s">
        <v>35</v>
      </c>
      <c r="J73" s="2" t="s">
        <v>28</v>
      </c>
      <c r="K73" s="2" t="s">
        <v>37</v>
      </c>
      <c r="L73" s="2" t="s">
        <v>37</v>
      </c>
      <c r="M73" s="2" t="s">
        <v>43</v>
      </c>
      <c r="N73" s="5" t="s">
        <v>45</v>
      </c>
      <c r="Q73" s="2">
        <v>100</v>
      </c>
      <c r="R73">
        <v>7</v>
      </c>
      <c r="S73" s="2">
        <v>30</v>
      </c>
      <c r="W73" t="s">
        <v>52</v>
      </c>
    </row>
    <row r="74" spans="1:23" x14ac:dyDescent="0.2">
      <c r="A74">
        <v>73</v>
      </c>
      <c r="B74" t="str">
        <f t="shared" si="2"/>
        <v>T1_73</v>
      </c>
      <c r="C74" t="str">
        <f t="shared" si="3"/>
        <v>Mar_22_T1_73_BL60_stem</v>
      </c>
      <c r="D74" s="2" t="s">
        <v>27</v>
      </c>
      <c r="E74" s="1">
        <v>44644</v>
      </c>
      <c r="F74" s="3">
        <v>0.54236111111111107</v>
      </c>
      <c r="G74" s="3">
        <v>0.55138888888888893</v>
      </c>
      <c r="H74" s="2" t="s">
        <v>31</v>
      </c>
      <c r="I74" s="4" t="s">
        <v>35</v>
      </c>
      <c r="J74" s="2" t="s">
        <v>28</v>
      </c>
      <c r="K74" s="2" t="s">
        <v>37</v>
      </c>
      <c r="L74" s="2" t="s">
        <v>37</v>
      </c>
      <c r="M74" s="2" t="s">
        <v>48</v>
      </c>
      <c r="N74" s="2" t="s">
        <v>51</v>
      </c>
      <c r="Q74" s="2">
        <v>0</v>
      </c>
      <c r="R74">
        <v>2.9</v>
      </c>
      <c r="S74" s="2">
        <v>29.5</v>
      </c>
      <c r="W74" t="s">
        <v>52</v>
      </c>
    </row>
    <row r="75" spans="1:23" x14ac:dyDescent="0.2">
      <c r="A75">
        <v>74</v>
      </c>
      <c r="B75" t="str">
        <f t="shared" si="2"/>
        <v>T1_74</v>
      </c>
      <c r="C75" t="str">
        <f t="shared" si="3"/>
        <v>Mar_22_T1_74_BL60_stem</v>
      </c>
      <c r="D75" s="2" t="s">
        <v>27</v>
      </c>
      <c r="E75" s="1">
        <v>44644</v>
      </c>
      <c r="F75" s="3">
        <v>0.50277777777777777</v>
      </c>
      <c r="G75" s="3">
        <v>0.50641203703703708</v>
      </c>
      <c r="H75" s="2" t="s">
        <v>31</v>
      </c>
      <c r="I75" s="4" t="s">
        <v>35</v>
      </c>
      <c r="J75" s="2" t="s">
        <v>28</v>
      </c>
      <c r="K75" s="2" t="s">
        <v>37</v>
      </c>
      <c r="L75" s="2" t="s">
        <v>37</v>
      </c>
      <c r="M75" s="2" t="s">
        <v>43</v>
      </c>
      <c r="N75" s="5" t="s">
        <v>45</v>
      </c>
      <c r="Q75" s="2">
        <v>100</v>
      </c>
      <c r="R75">
        <v>8.3000000000000007</v>
      </c>
      <c r="W75" t="s">
        <v>52</v>
      </c>
    </row>
    <row r="76" spans="1:23" x14ac:dyDescent="0.2">
      <c r="A76">
        <v>75</v>
      </c>
      <c r="B76" t="str">
        <f t="shared" si="2"/>
        <v>T1_75</v>
      </c>
      <c r="C76" t="str">
        <f t="shared" si="3"/>
        <v>Mar_22_T1_75_BL60_stem</v>
      </c>
      <c r="D76" s="2" t="s">
        <v>27</v>
      </c>
      <c r="E76" s="1">
        <v>44644</v>
      </c>
      <c r="F76" s="3">
        <v>0.51249999999999996</v>
      </c>
      <c r="G76" s="3">
        <v>0.51597222222222228</v>
      </c>
      <c r="H76" s="2" t="s">
        <v>31</v>
      </c>
      <c r="I76" s="4" t="s">
        <v>35</v>
      </c>
      <c r="J76" s="2" t="s">
        <v>28</v>
      </c>
      <c r="K76" s="2" t="s">
        <v>37</v>
      </c>
      <c r="L76" s="2" t="s">
        <v>37</v>
      </c>
      <c r="M76" s="2" t="s">
        <v>43</v>
      </c>
      <c r="N76" s="5" t="s">
        <v>45</v>
      </c>
      <c r="Q76" s="2">
        <v>50</v>
      </c>
      <c r="R76">
        <v>7.6</v>
      </c>
      <c r="T76" s="2">
        <v>30.3</v>
      </c>
      <c r="U76" s="2">
        <v>24.6</v>
      </c>
      <c r="W76" t="s">
        <v>52</v>
      </c>
    </row>
    <row r="77" spans="1:23" x14ac:dyDescent="0.2">
      <c r="A77">
        <v>76</v>
      </c>
      <c r="B77" t="str">
        <f t="shared" si="2"/>
        <v>T1_76</v>
      </c>
      <c r="C77" t="str">
        <f t="shared" si="3"/>
        <v>Mar_22_T1_76_BL60_root</v>
      </c>
      <c r="D77" s="2" t="s">
        <v>27</v>
      </c>
      <c r="E77" s="1">
        <v>44644</v>
      </c>
      <c r="F77" s="3">
        <v>0.52569444444444446</v>
      </c>
      <c r="G77" s="3">
        <v>0.52916666666666667</v>
      </c>
      <c r="H77" s="2" t="s">
        <v>32</v>
      </c>
      <c r="I77" s="4" t="s">
        <v>35</v>
      </c>
      <c r="J77" s="2" t="s">
        <v>28</v>
      </c>
      <c r="K77" s="2" t="s">
        <v>37</v>
      </c>
      <c r="L77" s="2" t="s">
        <v>37</v>
      </c>
      <c r="M77" s="2" t="s">
        <v>48</v>
      </c>
      <c r="N77" s="5" t="s">
        <v>51</v>
      </c>
      <c r="Q77" s="2">
        <v>0</v>
      </c>
      <c r="R77">
        <v>3.5</v>
      </c>
      <c r="W77" t="s">
        <v>52</v>
      </c>
    </row>
    <row r="78" spans="1:23" x14ac:dyDescent="0.2">
      <c r="A78">
        <v>77</v>
      </c>
      <c r="B78" t="str">
        <f t="shared" si="2"/>
        <v>T1_77</v>
      </c>
      <c r="C78" t="str">
        <f t="shared" si="3"/>
        <v>Mar_22_T1_77_BL60_stem</v>
      </c>
      <c r="D78" s="2" t="s">
        <v>27</v>
      </c>
      <c r="E78" s="1">
        <v>44644</v>
      </c>
      <c r="F78" s="3">
        <v>0.53888888888888886</v>
      </c>
      <c r="G78" s="3">
        <v>0.54236111111111107</v>
      </c>
      <c r="H78" s="2" t="s">
        <v>31</v>
      </c>
      <c r="I78" s="4" t="s">
        <v>35</v>
      </c>
      <c r="J78" s="2" t="s">
        <v>28</v>
      </c>
      <c r="K78" s="2" t="s">
        <v>37</v>
      </c>
      <c r="L78" s="2" t="s">
        <v>37</v>
      </c>
      <c r="M78" s="2" t="s">
        <v>43</v>
      </c>
      <c r="N78" s="5" t="s">
        <v>45</v>
      </c>
      <c r="Q78" s="2">
        <v>25</v>
      </c>
      <c r="R78">
        <v>6.4</v>
      </c>
      <c r="W78" t="s">
        <v>52</v>
      </c>
    </row>
    <row r="79" spans="1:23" x14ac:dyDescent="0.2">
      <c r="A79">
        <v>78</v>
      </c>
      <c r="B79" t="str">
        <f t="shared" si="2"/>
        <v>T1_78</v>
      </c>
      <c r="C79" t="str">
        <f t="shared" si="3"/>
        <v>Mar_22_T1_78_BL60_stem</v>
      </c>
      <c r="D79" s="2" t="s">
        <v>27</v>
      </c>
      <c r="E79" s="1">
        <v>44644</v>
      </c>
      <c r="F79" s="3">
        <v>0.62881944444444449</v>
      </c>
      <c r="G79" s="3">
        <v>0.55104166666666665</v>
      </c>
      <c r="H79" s="2" t="s">
        <v>31</v>
      </c>
      <c r="I79" s="4" t="s">
        <v>35</v>
      </c>
      <c r="J79" s="2" t="s">
        <v>30</v>
      </c>
      <c r="K79" s="2" t="s">
        <v>40</v>
      </c>
      <c r="L79" s="2" t="s">
        <v>38</v>
      </c>
      <c r="M79" s="2" t="s">
        <v>45</v>
      </c>
      <c r="N79" s="5" t="s">
        <v>45</v>
      </c>
      <c r="Q79" s="2">
        <v>0</v>
      </c>
      <c r="R79">
        <v>17.8</v>
      </c>
      <c r="S79" s="2">
        <v>31.4</v>
      </c>
      <c r="T79" s="2">
        <v>36.200000000000003</v>
      </c>
      <c r="U79" s="2">
        <v>24.9</v>
      </c>
      <c r="W79" t="s">
        <v>52</v>
      </c>
    </row>
    <row r="80" spans="1:23" x14ac:dyDescent="0.2">
      <c r="A80">
        <v>79</v>
      </c>
      <c r="B80" t="str">
        <f t="shared" si="2"/>
        <v>T1_79</v>
      </c>
      <c r="C80" t="str">
        <f t="shared" si="3"/>
        <v>Mar_22_T1_79_BL60_stem</v>
      </c>
      <c r="D80" s="2" t="s">
        <v>27</v>
      </c>
      <c r="E80" s="1">
        <v>44644</v>
      </c>
      <c r="F80" s="3">
        <v>0.55833333333333335</v>
      </c>
      <c r="G80" s="3">
        <v>0.56215277777777772</v>
      </c>
      <c r="H80" s="2" t="s">
        <v>31</v>
      </c>
      <c r="I80" s="4" t="s">
        <v>35</v>
      </c>
      <c r="J80" s="2" t="s">
        <v>30</v>
      </c>
      <c r="K80" s="2" t="s">
        <v>40</v>
      </c>
      <c r="L80" s="2" t="s">
        <v>38</v>
      </c>
      <c r="M80" s="2" t="s">
        <v>45</v>
      </c>
      <c r="N80" s="5" t="s">
        <v>45</v>
      </c>
      <c r="Q80" s="2">
        <v>50</v>
      </c>
      <c r="R80">
        <v>8.6</v>
      </c>
      <c r="S80" s="2">
        <v>29.7</v>
      </c>
      <c r="T80" s="2">
        <v>33.4</v>
      </c>
      <c r="W80" t="s">
        <v>52</v>
      </c>
    </row>
    <row r="81" spans="1:23" x14ac:dyDescent="0.2">
      <c r="A81">
        <v>80</v>
      </c>
      <c r="B81" t="str">
        <f t="shared" si="2"/>
        <v>T1_80</v>
      </c>
      <c r="C81" t="str">
        <f t="shared" si="3"/>
        <v>Mar_22_T1_80_BL60_stem</v>
      </c>
      <c r="D81" s="2" t="s">
        <v>27</v>
      </c>
      <c r="E81" s="1">
        <v>44644</v>
      </c>
      <c r="F81" s="3">
        <v>0.56631944444444449</v>
      </c>
      <c r="G81" s="3">
        <v>0.5697916666666667</v>
      </c>
      <c r="H81" s="2" t="s">
        <v>31</v>
      </c>
      <c r="I81" s="4" t="s">
        <v>35</v>
      </c>
      <c r="J81" s="2" t="s">
        <v>30</v>
      </c>
      <c r="K81" s="2" t="s">
        <v>40</v>
      </c>
      <c r="L81" s="2" t="s">
        <v>38</v>
      </c>
      <c r="M81" s="2" t="s">
        <v>45</v>
      </c>
      <c r="N81" s="5" t="s">
        <v>45</v>
      </c>
      <c r="Q81" s="2">
        <v>100</v>
      </c>
      <c r="R81">
        <v>8</v>
      </c>
      <c r="S81" s="2">
        <v>30.8</v>
      </c>
      <c r="T81" s="2">
        <v>27.3</v>
      </c>
      <c r="W81" t="s">
        <v>52</v>
      </c>
    </row>
    <row r="82" spans="1:23" x14ac:dyDescent="0.2">
      <c r="A82">
        <v>81</v>
      </c>
      <c r="B82" t="str">
        <f t="shared" si="2"/>
        <v>T1_81</v>
      </c>
      <c r="C82" t="str">
        <f t="shared" si="3"/>
        <v>Mar_22_T1_81_BL60_stem</v>
      </c>
      <c r="D82" s="2" t="s">
        <v>27</v>
      </c>
      <c r="E82" s="1">
        <v>44644</v>
      </c>
      <c r="F82" s="3">
        <v>0.58333333333333337</v>
      </c>
      <c r="G82" s="3">
        <v>0.58680555555555558</v>
      </c>
      <c r="H82" s="2" t="s">
        <v>31</v>
      </c>
      <c r="I82" s="4" t="s">
        <v>35</v>
      </c>
      <c r="J82" s="2" t="s">
        <v>28</v>
      </c>
      <c r="K82" s="2" t="s">
        <v>40</v>
      </c>
      <c r="L82" s="2" t="s">
        <v>38</v>
      </c>
      <c r="M82" s="2" t="s">
        <v>45</v>
      </c>
      <c r="N82" s="5" t="s">
        <v>45</v>
      </c>
      <c r="Q82" s="2">
        <v>0</v>
      </c>
      <c r="R82">
        <v>9.5</v>
      </c>
      <c r="S82" s="2">
        <v>35.4</v>
      </c>
      <c r="T82" s="2">
        <v>33.9</v>
      </c>
      <c r="U82" s="2">
        <v>29.6</v>
      </c>
      <c r="W82" t="s">
        <v>52</v>
      </c>
    </row>
    <row r="83" spans="1:23" x14ac:dyDescent="0.2">
      <c r="A83">
        <v>82</v>
      </c>
      <c r="B83" t="str">
        <f t="shared" si="2"/>
        <v>T1_82</v>
      </c>
      <c r="C83" t="str">
        <f t="shared" si="3"/>
        <v>Mar_22_T1_82_BL60_stem</v>
      </c>
      <c r="D83" s="2" t="s">
        <v>27</v>
      </c>
      <c r="E83" s="1">
        <v>44644</v>
      </c>
      <c r="F83" s="3">
        <v>0.58854166666666663</v>
      </c>
      <c r="G83" s="3">
        <v>0.59201388888888884</v>
      </c>
      <c r="H83" s="2" t="s">
        <v>31</v>
      </c>
      <c r="I83" s="4" t="s">
        <v>35</v>
      </c>
      <c r="J83" s="2" t="s">
        <v>28</v>
      </c>
      <c r="K83" s="2" t="s">
        <v>40</v>
      </c>
      <c r="L83" s="2" t="s">
        <v>38</v>
      </c>
      <c r="M83" s="2" t="s">
        <v>45</v>
      </c>
      <c r="N83" s="5" t="s">
        <v>45</v>
      </c>
      <c r="Q83" s="2">
        <v>50</v>
      </c>
      <c r="R83">
        <v>6.4</v>
      </c>
      <c r="S83" s="2">
        <v>33.9</v>
      </c>
      <c r="T83" s="2">
        <v>32.4</v>
      </c>
      <c r="W83" t="s">
        <v>52</v>
      </c>
    </row>
    <row r="84" spans="1:23" x14ac:dyDescent="0.2">
      <c r="A84">
        <v>83</v>
      </c>
      <c r="B84" t="str">
        <f t="shared" si="2"/>
        <v>T1_83</v>
      </c>
      <c r="C84" t="str">
        <f t="shared" si="3"/>
        <v>Mar_22_T1_83_BL60_stem</v>
      </c>
      <c r="D84" s="2" t="s">
        <v>27</v>
      </c>
      <c r="E84" s="1">
        <v>44644</v>
      </c>
      <c r="F84" s="3">
        <v>0.61041666666666672</v>
      </c>
      <c r="G84" s="3">
        <v>0.53055555555555556</v>
      </c>
      <c r="H84" s="2" t="s">
        <v>31</v>
      </c>
      <c r="I84" s="4" t="s">
        <v>35</v>
      </c>
      <c r="J84" s="2" t="s">
        <v>28</v>
      </c>
      <c r="K84" s="2" t="s">
        <v>40</v>
      </c>
      <c r="L84" s="2" t="s">
        <v>38</v>
      </c>
      <c r="M84" s="2" t="s">
        <v>48</v>
      </c>
      <c r="N84" s="5" t="s">
        <v>51</v>
      </c>
      <c r="Q84" s="2">
        <v>134</v>
      </c>
      <c r="R84">
        <v>5.0999999999999996</v>
      </c>
      <c r="S84" s="2">
        <v>32.6</v>
      </c>
      <c r="T84" s="2">
        <v>33.299999999999997</v>
      </c>
      <c r="W84" t="s">
        <v>52</v>
      </c>
    </row>
    <row r="85" spans="1:23" x14ac:dyDescent="0.2">
      <c r="A85">
        <v>84</v>
      </c>
      <c r="B85" t="str">
        <f t="shared" si="2"/>
        <v>T1_84</v>
      </c>
      <c r="C85" t="str">
        <f t="shared" si="3"/>
        <v>Mar_22_T1_84_BL60_pneumatophore</v>
      </c>
      <c r="D85" s="2" t="s">
        <v>27</v>
      </c>
      <c r="E85" s="1">
        <v>44644</v>
      </c>
      <c r="F85" s="3">
        <v>0.69552083333333337</v>
      </c>
      <c r="G85" s="3"/>
      <c r="H85" s="2" t="s">
        <v>34</v>
      </c>
      <c r="I85" s="4" t="s">
        <v>35</v>
      </c>
      <c r="J85" s="2" t="s">
        <v>29</v>
      </c>
      <c r="K85" s="2" t="s">
        <v>40</v>
      </c>
      <c r="L85" s="2" t="s">
        <v>38</v>
      </c>
      <c r="M85" s="2" t="s">
        <v>49</v>
      </c>
      <c r="N85" s="5" t="s">
        <v>51</v>
      </c>
      <c r="T85" s="2">
        <v>30.5</v>
      </c>
      <c r="W85" t="s">
        <v>52</v>
      </c>
    </row>
    <row r="86" spans="1:23" x14ac:dyDescent="0.2">
      <c r="A86">
        <v>85</v>
      </c>
      <c r="B86" t="str">
        <f t="shared" si="2"/>
        <v>T1_85</v>
      </c>
      <c r="C86" t="str">
        <f t="shared" si="3"/>
        <v>Mar_22_T1_85_BL60_pneumatophore</v>
      </c>
      <c r="D86" s="2" t="s">
        <v>27</v>
      </c>
      <c r="E86" s="1">
        <v>44644</v>
      </c>
      <c r="H86" s="2" t="s">
        <v>34</v>
      </c>
      <c r="I86" s="4" t="s">
        <v>35</v>
      </c>
      <c r="J86" s="2" t="s">
        <v>29</v>
      </c>
      <c r="K86" s="2" t="s">
        <v>40</v>
      </c>
      <c r="L86" s="2" t="s">
        <v>38</v>
      </c>
      <c r="M86" s="2" t="s">
        <v>49</v>
      </c>
      <c r="N86" s="5" t="s">
        <v>51</v>
      </c>
      <c r="W86" t="s">
        <v>52</v>
      </c>
    </row>
    <row r="87" spans="1:23" x14ac:dyDescent="0.2">
      <c r="A87">
        <v>86</v>
      </c>
      <c r="B87" t="str">
        <f>"T1_"&amp;A87</f>
        <v>T1_86</v>
      </c>
      <c r="C87" t="str">
        <f t="shared" si="3"/>
        <v>Mar_22_T1_86_BL60_pneumatophore</v>
      </c>
      <c r="D87" s="2" t="s">
        <v>27</v>
      </c>
      <c r="E87" s="1">
        <v>44644</v>
      </c>
      <c r="H87" s="2" t="s">
        <v>34</v>
      </c>
      <c r="I87" s="4" t="s">
        <v>35</v>
      </c>
      <c r="J87" s="2" t="s">
        <v>29</v>
      </c>
      <c r="K87" s="2" t="s">
        <v>40</v>
      </c>
      <c r="L87" s="2" t="s">
        <v>38</v>
      </c>
      <c r="M87" s="2" t="s">
        <v>49</v>
      </c>
      <c r="N87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Gewirtzman, Jonathan</dc:creator>
  <cp:lastModifiedBy>Gewirtzman, Jonathan</cp:lastModifiedBy>
  <dcterms:created xsi:type="dcterms:W3CDTF">2025-09-07T16:37:56Z</dcterms:created>
  <dcterms:modified xsi:type="dcterms:W3CDTF">2025-09-07T17:02:22Z</dcterms:modified>
</cp:coreProperties>
</file>